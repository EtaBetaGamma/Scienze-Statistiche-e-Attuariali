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 codeName="{37A63EE7-654F-3FA9-A528-636911D70600}"/>
  <workbookPr filterPrivacy="1" codeName="Questa_cartella_di_lavoro" defaultThemeVersion="124226"/>
  <xr:revisionPtr revIDLastSave="0" documentId="13_ncr:1_{2189E12B-8FC6-4E13-BC56-ACA57C27C463}" xr6:coauthVersionLast="47" xr6:coauthVersionMax="47" xr10:uidLastSave="{00000000-0000-0000-0000-000000000000}"/>
  <bookViews>
    <workbookView xWindow="-108" yWindow="-108" windowWidth="23256" windowHeight="12576" firstSheet="3" activeTab="6" xr2:uid="{00000000-000D-0000-FFFF-FFFF00000000}"/>
  </bookViews>
  <sheets>
    <sheet name="Numero dei sinistri" sheetId="4" r:id="rId1"/>
    <sheet name="SINGOLO SINISTRO" sheetId="5" r:id="rId2"/>
    <sheet name="POISSON-LOGNORM" sheetId="1" r:id="rId3"/>
    <sheet name="BIN.NEG.-LOGNORM" sheetId="2" r:id="rId4"/>
    <sheet name="DANNO AGGREGATO" sheetId="3" r:id="rId5"/>
    <sheet name="RISULTATI " sheetId="6" r:id="rId6"/>
    <sheet name="XL AGGREGATE" sheetId="7" r:id="rId7"/>
    <sheet name="SMONTAMENTO" sheetId="8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___________a1" hidden="1">{"'RIEPILOGO'!$A$1:$E$83"}</definedName>
    <definedName name="___________a11" hidden="1">{"'RIEPILOGO'!$A$1:$E$83"}</definedName>
    <definedName name="___________a111" hidden="1">{"'RIEPILOGO'!$A$1:$E$83"}</definedName>
    <definedName name="___________p1" hidden="1">{"'RIEPILOGO'!$A$1:$E$83"}</definedName>
    <definedName name="___________p11" hidden="1">{"'RIEPILOGO'!$A$1:$E$83"}</definedName>
    <definedName name="___________pp1" hidden="1">{"'RIEPILOGO'!$A$1:$E$83"}</definedName>
    <definedName name="___________yy1" hidden="1">{"'RIEPILOGO'!$A$1:$E$83"}</definedName>
    <definedName name="__________a1" hidden="1">{"'RIEPILOGO'!$A$1:$E$83"}</definedName>
    <definedName name="__________a11" hidden="1">{"'RIEPILOGO'!$A$1:$E$83"}</definedName>
    <definedName name="__________a111" hidden="1">{"'RIEPILOGO'!$A$1:$E$83"}</definedName>
    <definedName name="__________p1" hidden="1">{"'RIEPILOGO'!$A$1:$E$83"}</definedName>
    <definedName name="__________p11" hidden="1">{"'RIEPILOGO'!$A$1:$E$83"}</definedName>
    <definedName name="__________pp1" hidden="1">{"'RIEPILOGO'!$A$1:$E$83"}</definedName>
    <definedName name="__________yy1" hidden="1">{"'RIEPILOGO'!$A$1:$E$83"}</definedName>
    <definedName name="________a1" hidden="1">{"'RIEPILOGO'!$A$1:$E$83"}</definedName>
    <definedName name="________a11" hidden="1">{"'RIEPILOGO'!$A$1:$E$83"}</definedName>
    <definedName name="________a111" hidden="1">{"'RIEPILOGO'!$A$1:$E$83"}</definedName>
    <definedName name="________p1" hidden="1">{"'RIEPILOGO'!$A$1:$E$83"}</definedName>
    <definedName name="________p11" hidden="1">{"'RIEPILOGO'!$A$1:$E$83"}</definedName>
    <definedName name="________pp1" hidden="1">{"'RIEPILOGO'!$A$1:$E$83"}</definedName>
    <definedName name="________yy1" hidden="1">{"'RIEPILOGO'!$A$1:$E$83"}</definedName>
    <definedName name="_______ben2" hidden="1">{#N/A,#N/A,FALSE,"SINTESI GESTIONALE";#N/A,#N/A,FALSE,"all.1 - LAVORO";#N/A,#N/A,FALSE,"all. 2 - SPESE AMM.TIVE";#N/A,#N/A,FALSE," SINTESI CIVILISTICO";#N/A,#N/A,FALSE,"Commerciale"}</definedName>
    <definedName name="_______ob99" hidden="1">{#N/A,#N/A,FALSE,"SINTESI GESTIONALE";#N/A,#N/A,FALSE,"all.1 - LAVORO";#N/A,#N/A,FALSE,"all. 2 - SPESE AMM.TIVE";#N/A,#N/A,FALSE," SINTESI CIVILISTICO";#N/A,#N/A,FALSE,"Commerciale"}</definedName>
    <definedName name="______a1" hidden="1">{"'RIEPILOGO'!$A$1:$E$83"}</definedName>
    <definedName name="______a11" hidden="1">{"'RIEPILOGO'!$A$1:$E$83"}</definedName>
    <definedName name="______a111" hidden="1">{"'RIEPILOGO'!$A$1:$E$83"}</definedName>
    <definedName name="______ben2" hidden="1">{#N/A,#N/A,FALSE,"SINTESI GESTIONALE";#N/A,#N/A,FALSE,"all.1 - LAVORO";#N/A,#N/A,FALSE,"all. 2 - SPESE AMM.TIVE";#N/A,#N/A,FALSE," SINTESI CIVILISTICO";#N/A,#N/A,FALSE,"Commerciale"}</definedName>
    <definedName name="______ob99" hidden="1">{#N/A,#N/A,FALSE,"SINTESI GESTIONALE";#N/A,#N/A,FALSE,"all.1 - LAVORO";#N/A,#N/A,FALSE,"all. 2 - SPESE AMM.TIVE";#N/A,#N/A,FALSE," SINTESI CIVILISTICO";#N/A,#N/A,FALSE,"Commerciale"}</definedName>
    <definedName name="______p1" hidden="1">{"'RIEPILOGO'!$A$1:$E$83"}</definedName>
    <definedName name="______p11" hidden="1">{"'RIEPILOGO'!$A$1:$E$83"}</definedName>
    <definedName name="______pp1" hidden="1">{"'RIEPILOGO'!$A$1:$E$83"}</definedName>
    <definedName name="______yy1" hidden="1">{"'RIEPILOGO'!$A$1:$E$83"}</definedName>
    <definedName name="_____a1" hidden="1">{"'RIEPILOGO'!$A$1:$E$83"}</definedName>
    <definedName name="_____a11" hidden="1">{"'RIEPILOGO'!$A$1:$E$83"}</definedName>
    <definedName name="_____a111" hidden="1">{"'RIEPILOGO'!$A$1:$E$83"}</definedName>
    <definedName name="_____p1" hidden="1">{"'RIEPILOGO'!$A$1:$E$83"}</definedName>
    <definedName name="_____p11" hidden="1">{"'RIEPILOGO'!$A$1:$E$83"}</definedName>
    <definedName name="_____pp1" hidden="1">{"'RIEPILOGO'!$A$1:$E$83"}</definedName>
    <definedName name="_____yy1" hidden="1">{"'RIEPILOGO'!$A$1:$E$83"}</definedName>
    <definedName name="____ben2" hidden="1">{#N/A,#N/A,FALSE,"SINTESI GESTIONALE";#N/A,#N/A,FALSE,"all.1 - LAVORO";#N/A,#N/A,FALSE,"all. 2 - SPESE AMM.TIVE";#N/A,#N/A,FALSE," SINTESI CIVILISTICO";#N/A,#N/A,FALSE,"Commerciale"}</definedName>
    <definedName name="____ob99" hidden="1">{#N/A,#N/A,FALSE,"SINTESI GESTIONALE";#N/A,#N/A,FALSE,"all.1 - LAVORO";#N/A,#N/A,FALSE,"all. 2 - SPESE AMM.TIVE";#N/A,#N/A,FALSE," SINTESI CIVILISTICO";#N/A,#N/A,FALSE,"Commerciale"}</definedName>
    <definedName name="___a1" hidden="1">{"'RIEPILOGO'!$A$1:$E$83"}</definedName>
    <definedName name="___a11" hidden="1">{"'RIEPILOGO'!$A$1:$E$83"}</definedName>
    <definedName name="___a111" hidden="1">{"'RIEPILOGO'!$A$1:$E$83"}</definedName>
    <definedName name="___p1" hidden="1">{"'RIEPILOGO'!$A$1:$E$83"}</definedName>
    <definedName name="___p11" hidden="1">{"'RIEPILOGO'!$A$1:$E$83"}</definedName>
    <definedName name="___pp1" hidden="1">{"'RIEPILOGO'!$A$1:$E$83"}</definedName>
    <definedName name="___yy1" hidden="1">{"'RIEPILOGO'!$A$1:$E$83"}</definedName>
    <definedName name="__ben2" hidden="1">{#N/A,#N/A,FALSE,"SINTESI GESTIONALE";#N/A,#N/A,FALSE,"all.1 - LAVORO";#N/A,#N/A,FALSE,"all. 2 - SPESE AMM.TIVE";#N/A,#N/A,FALSE," SINTESI CIVILISTICO";#N/A,#N/A,FALSE,"Commerciale"}</definedName>
    <definedName name="__i18n">'[1]0. Language'!$F$94</definedName>
    <definedName name="__iLang">'[1]0. Language'!$D$2</definedName>
    <definedName name="__IntlFixup" hidden="1">TRUE</definedName>
    <definedName name="__ob99" hidden="1">{#N/A,#N/A,FALSE,"SINTESI GESTIONALE";#N/A,#N/A,FALSE,"all.1 - LAVORO";#N/A,#N/A,FALSE,"all. 2 - SPESE AMM.TIVE";#N/A,#N/A,FALSE," SINTESI CIVILISTICO";#N/A,#N/A,FALSE,"Commerciale"}</definedName>
    <definedName name="_a1" hidden="1">{"'RIEPILOGO'!$A$1:$E$83"}</definedName>
    <definedName name="_a11" hidden="1">{"'RIEPILOGO'!$A$1:$E$83"}</definedName>
    <definedName name="_a111" hidden="1">{"'RIEPILOGO'!$A$1:$E$83"}</definedName>
    <definedName name="_AMO_XmlVersion" hidden="1">"'1'"</definedName>
    <definedName name="_ben2" hidden="1">{#N/A,#N/A,FALSE,"SINTESI GESTIONALE";#N/A,#N/A,FALSE,"all.1 - LAVORO";#N/A,#N/A,FALSE,"all. 2 - SPESE AMM.TIVE";#N/A,#N/A,FALSE," SINTESI CIVILISTICO";#N/A,#N/A,FALSE,"Commerciale"}</definedName>
    <definedName name="_Fill" hidden="1">#REF!</definedName>
    <definedName name="_xlnm._FilterDatabase" hidden="1">#REF!</definedName>
    <definedName name="_ob99" hidden="1">{#N/A,#N/A,FALSE,"SINTESI GESTIONALE";#N/A,#N/A,FALSE,"all.1 - LAVORO";#N/A,#N/A,FALSE,"all. 2 - SPESE AMM.TIVE";#N/A,#N/A,FALSE," SINTESI CIVILISTICO";#N/A,#N/A,FALSE,"Commerciale"}</definedName>
    <definedName name="_Order1" hidden="1">255</definedName>
    <definedName name="_Order2" hidden="1">255</definedName>
    <definedName name="_p1" hidden="1">{"'RIEPILOGO'!$A$1:$E$83"}</definedName>
    <definedName name="_p11" hidden="1">{"'RIEPILOGO'!$A$1:$E$83"}</definedName>
    <definedName name="_pp1" hidden="1">{"'RIEPILOGO'!$A$1:$E$83"}</definedName>
    <definedName name="_scenchg_count" hidden="1">1</definedName>
    <definedName name="_scenchg1" hidden="1">#NAME?</definedName>
    <definedName name="_Table1_In1" hidden="1">#REF!</definedName>
    <definedName name="_Table1_Out" hidden="1">#REF!</definedName>
    <definedName name="_yy1" hidden="1">{"'RIEPILOGO'!$A$1:$E$83"}</definedName>
    <definedName name="aa" hidden="1">{#N/A,#N/A,FALSE,"SINTESI GESTIONALE";#N/A,#N/A,FALSE,"all.1 - LAVORO";#N/A,#N/A,FALSE,"all. 2 - SPESE AMM.TIVE";#N/A,#N/A,FALSE," SINTESI CIVILISTICO";#N/A,#N/A,FALSE,"Commerciale"}</definedName>
    <definedName name="AAA_DOCTOPS" hidden="1">"AAA_SET"</definedName>
    <definedName name="AAA_duser" hidden="1">"OFF"</definedName>
    <definedName name="aaaa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aaaaa" hidden="1">{#N/A,#N/A,FALSE,"SINTESI GESTIONALE";#N/A,#N/A,FALSE,"all.1 - LAVORO";#N/A,#N/A,FALSE,"all. 2 - SPESE AMM.TIVE";#N/A,#N/A,FALSE," SINTESI CIVILISTICO";#N/A,#N/A,FALSE,"Commerciale"}</definedName>
    <definedName name="aaaaaa" hidden="1">{"'RIEPILOGO'!$A$1:$E$83"}</definedName>
    <definedName name="aaaaaaa" hidden="1">{"'RIEPILOGO'!$A$1:$E$83"}</definedName>
    <definedName name="AAAAAAAA" hidden="1">{#N/A,#N/A,FALSE,"SINTESI GESTIONALE";#N/A,#N/A,FALSE,"all.1 - LAVORO";#N/A,#N/A,FALSE,"all. 2 - SPESE AMM.TIVE";#N/A,#N/A,FALSE," SINTESI CIVILISTICO";#N/A,#N/A,FALSE,"Commerciale"}</definedName>
    <definedName name="AAAAAAAAA" hidden="1">{#N/A,#N/A,FALSE,"SINTESI GESTIONALE";#N/A,#N/A,FALSE,"all.1 - LAVORO";#N/A,#N/A,FALSE,"all. 2 - SPESE AMM.TIVE";#N/A,#N/A,FALSE," SINTESI CIVILISTICO";#N/A,#N/A,FALSE,"Commerciale"}</definedName>
    <definedName name="AAAAAAAAAAA" hidden="1">{#N/A,#N/A,FALSE,"SINTESI GESTIONALE";#N/A,#N/A,FALSE,"all.1 - LAVORO";#N/A,#N/A,FALSE,"all. 2 - SPESE AMM.TIVE";#N/A,#N/A,FALSE," SINTESI CIVILISTICO";#N/A,#N/A,FALSE,"Commerciale"}</definedName>
    <definedName name="aaaaaaaaaaaaa" hidden="1">{"'RIEPILOGO'!$A$1:$E$83"}</definedName>
    <definedName name="aaaaaaaaaaaaaaa" hidden="1">{"'RIEPILOGO'!$A$1:$E$83"}</definedName>
    <definedName name="aaaaaaaaaaaaaaaaaaaaaaaaaaaaaaaaaa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aaaaaaaaaaaaaaaaaaaaaaaaaaaaaaaaaaaaaaaaaa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AAB_Addin5" hidden="1">"AAB_Description for addin 5,Description for addin 5,Description for addin 5,Description for addin 5,Description for addin 5,Description for addin 5"</definedName>
    <definedName name="aac" hidden="1">{#N/A,#N/A,FALSE,"SINTESI GESTIONALE";#N/A,#N/A,FALSE,"all.1 - LAVORO";#N/A,#N/A,FALSE,"all. 2 - SPESE AMM.TIVE";#N/A,#N/A,FALSE," SINTESI CIVILISTICO";#N/A,#N/A,FALSE,"Commerciale"}</definedName>
    <definedName name="aasasdasdasd" hidden="1">{"'RamoVita-mo'!$B$1:$J$85"}</definedName>
    <definedName name="AAVVV" hidden="1">{#N/A,#N/A,FALSE,"SINTESI GESTIONALE";#N/A,#N/A,FALSE,"all.1 - LAVORO";#N/A,#N/A,FALSE,"all. 2 - SPESE AMM.TIVE";#N/A,#N/A,FALSE," SINTESI CIVILISTICO";#N/A,#N/A,FALSE,"Commerciale"}</definedName>
    <definedName name="acci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acq">[2]calcolo!$B$23</definedName>
    <definedName name="af" hidden="1">{"'RamoVita-mo'!$B$1:$J$85"}</definedName>
    <definedName name="afgfafga" hidden="1">{"'RamoVita-mo'!$B$1:$J$85"}</definedName>
    <definedName name="afsdas" hidden="1">{"'RamoVita-mo'!$B$1:$J$85"}</definedName>
    <definedName name="aggravio">[2]calcolo!$B$29</definedName>
    <definedName name="agshertricncnsjkld" hidden="1">{"'RamoVita-mo'!$B$1:$J$85"}</definedName>
    <definedName name="Aliq_cec_LoB_1">#REF!</definedName>
    <definedName name="Aliq_cec_LoB_10">#REF!</definedName>
    <definedName name="Aliq_cec_LoB_11">#REF!</definedName>
    <definedName name="Aliq_cec_LoB_12">#REF!</definedName>
    <definedName name="Aliq_cec_LoB_2">#REF!</definedName>
    <definedName name="Aliq_cec_LoB_3">#REF!</definedName>
    <definedName name="Aliq_cec_LoB_4">#REF!</definedName>
    <definedName name="Aliq_cec_LoB_5">#REF!</definedName>
    <definedName name="Aliq_cec_LoB_6">#REF!</definedName>
    <definedName name="Aliq_cec_LoB_7">#REF!</definedName>
    <definedName name="Aliq_cec_LoB_8">#REF!</definedName>
    <definedName name="Aliq_cec_LoB_9">#REF!</definedName>
    <definedName name="Aliq_cep_LoB_1">#REF!</definedName>
    <definedName name="Aliq_cep_LoB_10">#REF!</definedName>
    <definedName name="Aliq_cep_LoB_11">#REF!</definedName>
    <definedName name="Aliq_cep_LoB_12">#REF!</definedName>
    <definedName name="Aliq_cep_LoB_2">#REF!</definedName>
    <definedName name="Aliq_cep_LoB_3">#REF!</definedName>
    <definedName name="Aliq_cep_LoB_4">#REF!</definedName>
    <definedName name="Aliq_cep_LoB_5">#REF!</definedName>
    <definedName name="Aliq_cep_LoB_6">#REF!</definedName>
    <definedName name="Aliq_cep_LoB_7">#REF!</definedName>
    <definedName name="Aliq_cep_LoB_8">#REF!</definedName>
    <definedName name="Aliq_cep_LoB_9">#REF!</definedName>
    <definedName name="anscount" hidden="1">1</definedName>
    <definedName name="asashahas" hidden="1">{"'RamoVita-mo'!$B$1:$J$85"}</definedName>
    <definedName name="ASDGH" hidden="1">{#N/A,#N/A,FALSE,"SINTESI GESTIONALE";#N/A,#N/A,FALSE,"all.1 - LAVORO";#N/A,#N/A,FALSE,"all. 2 - SPESE AMM.TIVE";#N/A,#N/A,FALSE," SINTESI CIVILISTICO";#N/A,#N/A,FALSE,"Commerciale"}</definedName>
    <definedName name="asdjkasdfhasduklasasd" hidden="1">{"'RamoVita-mo'!$B$1:$J$85"}</definedName>
    <definedName name="awererwtv" hidden="1">{"'RamoVita-mo'!$B$1:$J$85"}</definedName>
    <definedName name="bbb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bbytybybty" hidden="1">{"'RamoVita-mo'!$B$1:$J$85"}</definedName>
    <definedName name="beiiyi" hidden="1">{#N/A,#N/A,FALSE,"SINTESI GESTIONALE";#N/A,#N/A,FALSE,"all.1 - LAVORO";#N/A,#N/A,FALSE,"all. 2 - SPESE AMM.TIVE";#N/A,#N/A,FALSE," SINTESI CIVILISTICO";#N/A,#N/A,FALSE,"Commerciale"}</definedName>
    <definedName name="BLPH79" hidden="1">'[3]Azioni italiane'!$A$2</definedName>
    <definedName name="bnm" hidden="1">{"'RamoVita-mo'!$B$1:$J$85"}</definedName>
    <definedName name="bonigiol" hidden="1">{#N/A,#N/A,FALSE,"SINTESI GESTIONALE";#N/A,#N/A,FALSE,"all.1 - LAVORO";#N/A,#N/A,FALSE,"all. 2 - SPESE AMM.TIVE";#N/A,#N/A,FALSE," SINTESI CIVILISTICO";#N/A,#N/A,FALSE,"Commerciale"}</definedName>
    <definedName name="bytybtyrerertrtr" hidden="1">{"'RamoVita-mo'!$B$1:$J$85"}</definedName>
    <definedName name="CABOTO_PREC" hidden="1">{#N/A,#N/A,FALSE,"SINTESI GESTIONALE";#N/A,#N/A,FALSE,"all.1 - LAVORO";#N/A,#N/A,FALSE,"all. 2 - SPESE AMM.TIVE";#N/A,#N/A,FALSE," SINTESI CIVILISTICO";#N/A,#N/A,FALSE,"Commerciale"}</definedName>
    <definedName name="CANARIAROS" hidden="1">{"'RamoVita-mo'!$B$1:$J$85"}</definedName>
    <definedName name="cap">[2]calcolo!$B$21</definedName>
    <definedName name="cavolicchio" hidden="1">{#N/A,#N/A,FALSE,"SINTESI GESTIONALE";#N/A,#N/A,FALSE,"all.1 - LAVORO";#N/A,#N/A,FALSE,"all. 2 - SPESE AMM.TIVE";#N/A,#N/A,FALSE," SINTESI CIVILISTICO";#N/A,#N/A,FALSE,"Commerciale"}</definedName>
    <definedName name="cc" hidden="1">{#N/A,#N/A,FALSE,"SINTESI GESTIONALE";#N/A,#N/A,FALSE,"all.1 - LAVORO";#N/A,#N/A,FALSE,"all. 2 - SPESE AMM.TIVE";#N/A,#N/A,FALSE," SINTESI CIVILISTICO";#N/A,#N/A,FALSE,"Commerciale"}</definedName>
    <definedName name="ccc" hidden="1">{#N/A,#N/A,FALSE,"SINTESI GESTIONALE";#N/A,#N/A,FALSE,"all.1 - LAVORO";#N/A,#N/A,FALSE,"all. 2 - SPESE AMM.TIVE";#N/A,#N/A,FALSE," SINTESI CIVILISTICO";#N/A,#N/A,FALSE,"Commerciale"}</definedName>
    <definedName name="CCCC" hidden="1">{#N/A,#N/A,FALSE,"SINTESI GESTIONALE";#N/A,#N/A,FALSE,"all.1 - LAVORO";#N/A,#N/A,FALSE,"all. 2 - SPESE AMM.TIVE";#N/A,#N/A,FALSE," SINTESI CIVILISTICO";#N/A,#N/A,FALSE,"Commerciale"}</definedName>
    <definedName name="ccccc" hidden="1">{#N/A,#N/A,FALSE,"SINTESI GESTIONALE";#N/A,#N/A,FALSE,"all.1 - LAVORO";#N/A,#N/A,FALSE,"all. 2 - SPESE AMM.TIVE";#N/A,#N/A,FALSE," SINTESI CIVILISTICO";#N/A,#N/A,FALSE,"Commerciale"}</definedName>
    <definedName name="cccccccccccccccccccccccccccccccccccccccccccccc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CellWatch01Descn" hidden="1">""</definedName>
    <definedName name="CellWatch01Name" hidden="1">"MgInt1999"</definedName>
    <definedName name="CellWatch02Descn" hidden="1">""</definedName>
    <definedName name="CellWatch02Name" hidden="1">"MgInt2000"</definedName>
    <definedName name="CellWatch06Descn" hidden="1">""</definedName>
    <definedName name="CellWatch06Name" hidden="1">"2000"</definedName>
    <definedName name="CellWatch09Descn" hidden="1">""</definedName>
    <definedName name="CellWatch09Name" hidden="1">"cap ml 2001"</definedName>
    <definedName name="CellWatch10Descn" hidden="1">""</definedName>
    <definedName name="CellWatch10Name" hidden="1">"1998"</definedName>
    <definedName name="CellWatch11Descn" hidden="1">""</definedName>
    <definedName name="CellWatch11Name" hidden="1">"1999"</definedName>
    <definedName name="cgc" hidden="1">{#N/A,#N/A,FALSE,"SINTESI GESTIONALE";#N/A,#N/A,FALSE,"all.1 - LAVORO";#N/A,#N/A,FALSE,"all. 2 - SPESE AMM.TIVE";#N/A,#N/A,FALSE," SINTESI CIVILISTICO";#N/A,#N/A,FALSE,"Commerciale"}</definedName>
    <definedName name="ciop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cip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COD._PRODOTTO_INVITA">#REF!</definedName>
    <definedName name="COD._PRODOTTO_ISYDE">#REF!</definedName>
    <definedName name="Curva">[4]Rfr!$F$5:$G$154</definedName>
    <definedName name="Curve.LP">'[5]P.Illiquidity premiums'!$B$3</definedName>
    <definedName name="Curve.Spot">'[5]P.Spot rates'!$B$3</definedName>
    <definedName name="d">#REF!</definedName>
    <definedName name="daniela" hidden="1">{#N/A,#N/A,FALSE,"SINTESI GESTIONALE";#N/A,#N/A,FALSE,"all.1 - LAVORO";#N/A,#N/A,FALSE,"all. 2 - SPESE AMM.TIVE";#N/A,#N/A,FALSE," SINTESI CIVILISTICO";#N/A,#N/A,FALSE,"Commerciale"}</definedName>
    <definedName name="dasffsfdffdf" hidden="1">{"'RamoVita-mo'!$B$1:$J$85"}</definedName>
    <definedName name="dd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dddd" hidden="1">{#N/A,#N/A,FALSE,"SINTESI GESTIONALE";#N/A,#N/A,FALSE,"all.1 - LAVORO";#N/A,#N/A,FALSE,"all. 2 - SPESE AMM.TIVE";#N/A,#N/A,FALSE," SINTESI CIVILISTICO";#N/A,#N/A,FALSE,"Commerciale"}</definedName>
    <definedName name="ddddd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dedee" hidden="1">{"'RamoVita-mo'!$B$1:$J$85"}</definedName>
    <definedName name="DEEDE" hidden="1">{"'RamoVita-mo'!$B$1:$J$85"}</definedName>
    <definedName name="delia" hidden="1">{#N/A,#N/A,FALSE,"SINTESI GESTIONALE";#N/A,#N/A,FALSE,"all.1 - LAVORO";#N/A,#N/A,FALSE,"all. 2 - SPESE AMM.TIVE";#N/A,#N/A,FALSE," SINTESI CIVILISTICO";#N/A,#N/A,FALSE,"Commerciale"}</definedName>
    <definedName name="des" hidden="1">{"'RamoVita-mo'!$B$1:$J$85"}</definedName>
    <definedName name="DETTAGLIO">'[6]SPESE GENERALI'!#REF!</definedName>
    <definedName name="df" hidden="1">{"'RamoVita-mo'!$B$1:$J$85"}</definedName>
    <definedName name="dfd" hidden="1">{"'RamoVita-mo'!$B$1:$J$85"}</definedName>
    <definedName name="dfdfdfs" hidden="1">{"'RamoVita-mo'!$B$1:$J$85"}</definedName>
    <definedName name="dfdfqwqwqreer" hidden="1">{"'RamoVita-mo'!$B$1:$J$85"}</definedName>
    <definedName name="dfrtyyy" hidden="1">{#N/A,#N/A,FALSE,"SINTESI GESTIONALE";#N/A,#N/A,FALSE,"all.1 - LAVORO";#N/A,#N/A,FALSE,"all. 2 - SPESE AMM.TIVE";#N/A,#N/A,FALSE," SINTESI CIVILISTICO";#N/A,#N/A,FALSE,"Commerciale"}</definedName>
    <definedName name="dftghj" hidden="1">{"AG_Rete",#N/A,FALSE,"Area Rete";"AG_intergruppo",#N/A,FALSE,"Area Intergruppo";"AG_filiali",#N/A,FALSE,"Area Filiali";"AG_finanza",#N/A,FALSE,"Area Finanza";"AG_struttura",#N/A,FALSE,"Area Struttura"}</definedName>
    <definedName name="DLFNHEDNJUSEW" hidden="1">{"AG_Rete",#N/A,FALSE,"Area Rete";"AG_intergruppo",#N/A,FALSE,"Area Intergruppo";"AG_filiali",#N/A,FALSE,"Area Filiali";"AG_finanza",#N/A,FALSE,"Area Finanza";"AG_struttura",#N/A,FALSE,"Area Struttura"}</definedName>
    <definedName name="DT_val">[7]stampa!$C$17</definedName>
    <definedName name="ee" hidden="1">{"'RamoVita-mo'!$B$1:$J$85"}</definedName>
    <definedName name="èèèè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eergdfgdfh" hidden="1">{"'RamoVita-mo'!$B$1:$J$85"}</definedName>
    <definedName name="èòàààààààààà" hidden="1">{"'RamoVita-mo'!$B$1:$J$85"}</definedName>
    <definedName name="eqwe" hidden="1">{#N/A,#N/A,FALSE,"SINTESI GESTIONALE";#N/A,#N/A,FALSE,"all.1 - LAVORO";#N/A,#N/A,FALSE,"all. 2 - SPESE AMM.TIVE";#N/A,#N/A,FALSE," SINTESI CIVILISTICO";#N/A,#N/A,FALSE,"Commerciale"}</definedName>
    <definedName name="erdd" hidden="1">{"'RamoVita-mo'!$B$1:$J$85"}</definedName>
    <definedName name="etjetyjetyjetyj" hidden="1">{"'RamoVita-mo'!$B$1:$J$85"}</definedName>
    <definedName name="EV__LASTREFTIME__" hidden="1">38686.6449884259</definedName>
    <definedName name="f" hidden="1">{#N/A,#N/A,FALSE,"SINTESI GESTIONALE";#N/A,#N/A,FALSE,"all.1 - LAVORO";#N/A,#N/A,FALSE,"all. 2 - SPESE AMM.TIVE";#N/A,#N/A,FALSE," SINTESI CIVILISTICO";#N/A,#N/A,FALSE,"Commerciale"}</definedName>
    <definedName name="fdf" hidden="1">{"'RamoVita-mo'!$B$1:$J$85"}</definedName>
    <definedName name="fds">#REF!</definedName>
    <definedName name="fdsdfsdfdsdfs" hidden="1">{"'RamoVita-mo'!$B$1:$J$85"}</definedName>
    <definedName name="fdsssssssssssssssssssss" hidden="1">{"'RamoVita-mo'!$B$1:$J$85"}</definedName>
    <definedName name="fefe" hidden="1">{"'RamoVita-mo'!$B$1:$J$85"}</definedName>
    <definedName name="FETU" hidden="1">{"'RamoVita-mo'!$B$1:$J$85"}</definedName>
    <definedName name="FEWF">#REF!</definedName>
    <definedName name="fffdsfsdf" hidden="1">{"'RamoVita-mo'!$B$1:$J$85"}</definedName>
    <definedName name="ffff" hidden="1">{#N/A,#N/A,FALSE,"SINTESI GESTIONALE";#N/A,#N/A,FALSE,"all.1 - LAVORO";#N/A,#N/A,FALSE,"all. 2 - SPESE AMM.TIVE";#N/A,#N/A,FALSE," SINTESI CIVILISTICO";#N/A,#N/A,FALSE,"Commerciale"}</definedName>
    <definedName name="fffff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ffffff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fffffff" hidden="1">{#N/A,#N/A,FALSE,"SINTESI GESTIONALE";#N/A,#N/A,FALSE,"all.1 - LAVORO";#N/A,#N/A,FALSE,"all. 2 - SPESE AMM.TIVE";#N/A,#N/A,FALSE," SINTESI CIVILISTICO";#N/A,#N/A,FALSE,"Commerciale"}</definedName>
    <definedName name="ffffffff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ffffffffff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fffffffffff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fffffffffffff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fffffffffffffffff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ffffffffffffffffff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ffffffffffffffffffff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ffffffffffffffffffffffff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ffwwwww" hidden="1">{"'RamoVita-mo'!$B$1:$J$85"}</definedName>
    <definedName name="fg" hidden="1">{"'RamoVita-mo'!$B$1:$J$85"}</definedName>
    <definedName name="fgggggggggg" hidden="1">{#N/A,#N/A,FALSE,"SINTESI GESTIONALE";#N/A,#N/A,FALSE,"all.1 - LAVORO";#N/A,#N/A,FALSE,"all. 2 - SPESE AMM.TIVE";#N/A,#N/A,FALSE," SINTESI CIVILISTICO";#N/A,#N/A,FALSE,"Commerciale"}</definedName>
    <definedName name="fhgf" hidden="1">{"'RamoVita-mo'!$B$1:$J$85"}</definedName>
    <definedName name="fhghgfghghghf" hidden="1">{"'RamoVita-mo'!$B$1:$J$85"}</definedName>
    <definedName name="fhjkiooooooo" hidden="1">{"'RamoVita-mo'!$B$1:$J$85"}</definedName>
    <definedName name="fjklfjklgjklkgnfgfgf" hidden="1">{"'RamoVita-mo'!$B$1:$J$85"}</definedName>
    <definedName name="frazionamento">[2]calcolo!$B$30</definedName>
    <definedName name="fregnm" hidden="1">{"'RamoVita-mo'!$B$1:$J$85"}</definedName>
    <definedName name="g" hidden="1">{#N/A,#N/A,FALSE,"SINTESI GESTIONALE";#N/A,#N/A,FALSE,"all.1 - LAVORO";#N/A,#N/A,FALSE,"all. 2 - SPESE AMM.TIVE";#N/A,#N/A,FALSE," SINTESI CIVILISTICO";#N/A,#N/A,FALSE,"Commerciale"}</definedName>
    <definedName name="generali" hidden="1">{"'RamoVita-mo'!$B$1:$J$85"}</definedName>
    <definedName name="gepp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geppo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geppoooo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geppotto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gest">[2]calcolo!$B$24</definedName>
    <definedName name="GEVE" hidden="1">{#N/A,#N/A,FALSE,"SINTESI GESTIONALE";#N/A,#N/A,FALSE,"all.1 - LAVORO";#N/A,#N/A,FALSE,"all. 2 - SPESE AMM.TIVE";#N/A,#N/A,FALSE," SINTESI CIVILISTICO";#N/A,#N/A,FALSE,"Commerciale"}</definedName>
    <definedName name="gf" hidden="1">{"'RamoVita-mo'!$B$1:$J$85"}</definedName>
    <definedName name="gfsdg" hidden="1">{"'RamoVita-mo'!$B$1:$J$85"}</definedName>
    <definedName name="gggg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ggggfgfgfg" hidden="1">{"'RamoVita-mo'!$B$1:$J$85"}</definedName>
    <definedName name="ggggggg" hidden="1">{#N/A,#N/A,FALSE,"SINTESI GESTIONALE";#N/A,#N/A,FALSE,"all.1 - LAVORO";#N/A,#N/A,FALSE,"all. 2 - SPESE AMM.TIVE";#N/A,#N/A,FALSE," SINTESI CIVILISTICO";#N/A,#N/A,FALSE,"Commerciale"}</definedName>
    <definedName name="gggggggggggggggggggggggggggggggggggjk" hidden="1">{"'RamoVita-mo'!$B$1:$J$85"}</definedName>
    <definedName name="gghjj" hidden="1">{#N/A,#N/A,FALSE,"SINTESI GESTIONALE";#N/A,#N/A,FALSE,"all.1 - LAVORO";#N/A,#N/A,FALSE,"all. 2 - SPESE AMM.TIVE";#N/A,#N/A,FALSE," SINTESI CIVILISTICO";#N/A,#N/A,FALSE,"Commerciale"}</definedName>
    <definedName name="ghhrhh" hidden="1">{"'RamoVita-mo'!$B$1:$J$85"}</definedName>
    <definedName name="gi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gil" hidden="1">{#N/A,#N/A,FALSE,"SINTESI GESTIONALE";#N/A,#N/A,FALSE,"all.1 - LAVORO";#N/A,#N/A,FALSE,"all. 2 - SPESE AMM.TIVE";#N/A,#N/A,FALSE," SINTESI CIVILISTICO";#N/A,#N/A,FALSE,"Commerciale"}</definedName>
    <definedName name="gip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GIULFIOR" hidden="1">{#N/A,#N/A,FALSE,"SINTESI GESTIONALE";#N/A,#N/A,FALSE,"all.1 - LAVORO";#N/A,#N/A,FALSE,"all. 2 - SPESE AMM.TIVE";#N/A,#N/A,FALSE," SINTESI CIVILISTICO";#N/A,#N/A,FALSE,"Commerciale"}</definedName>
    <definedName name="gkgklfjiogeiofioiojionvioer" hidden="1">{"'RamoVita-mo'!$B$1:$J$85"}</definedName>
    <definedName name="glòklhnklmklh" hidden="1">{"'RamoVita-mo'!$B$1:$J$85"}</definedName>
    <definedName name="gttrrtrtrtr" hidden="1">{"'RamoVita-mo'!$B$1:$J$85"}</definedName>
    <definedName name="h" hidden="1">2</definedName>
    <definedName name="hghg">#REF!</definedName>
    <definedName name="hgjkl" hidden="1">{"'RamoVita-mo'!$B$1:$J$85"}</definedName>
    <definedName name="hh" hidden="1">{#N/A,#N/A,FALSE,"SINTESI GESTIONALE";#N/A,#N/A,FALSE,"all.1 - LAVORO";#N/A,#N/A,FALSE,"all. 2 - SPESE AMM.TIVE";#N/A,#N/A,FALSE," SINTESI CIVILISTICO";#N/A,#N/A,FALSE,"Commerciale"}</definedName>
    <definedName name="hhhhh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hhhhhh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hhhhhhhhh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hhhhhhhhhhh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hhhhhhhhhhhhhhh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hhhhhhhhhhhhhhhhhhh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hhhhhhhhhhhhhhhhhhhh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hhhhhhhhhhhhhhhhhhhhhh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hhhhhhhhhhhhhhhhhhhhhhh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hhhhhhhhhhhhhhhhhhhhhhhhhh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hhjjjjkk" hidden="1">{"'RamoVita-mo'!$B$1:$J$85"}</definedName>
    <definedName name="hjjhuju" hidden="1">{#N/A,#N/A,FALSE,"SINTESI GESTIONALE";#N/A,#N/A,FALSE,"all.1 - LAVORO";#N/A,#N/A,FALSE,"all. 2 - SPESE AMM.TIVE";#N/A,#N/A,FALSE," SINTESI CIVILISTICO";#N/A,#N/A,FALSE,"Commerciale"}</definedName>
    <definedName name="HTML_CodePage" hidden="1">1252</definedName>
    <definedName name="HTML_Control" hidden="1">{"'RamoVita-mo'!$B$1:$J$85"}</definedName>
    <definedName name="HTML_Description" hidden="1">""</definedName>
    <definedName name="HTML_Email" hidden="1">""</definedName>
    <definedName name="HTML_Header" hidden="1">"RamoVita-mo"</definedName>
    <definedName name="HTML_LastUpdate" hidden="1">"16/05/01"</definedName>
    <definedName name="HTML_LineAfter" hidden="1">FALSE</definedName>
    <definedName name="HTML_LineBefore" hidden="1">FALSE</definedName>
    <definedName name="HTML_Name" hidden="1">"Ziani"</definedName>
    <definedName name="HTML_OBDlg2" hidden="1">TRUE</definedName>
    <definedName name="HTML_OBDlg4" hidden="1">TRUE</definedName>
    <definedName name="HTML_OS" hidden="1">0</definedName>
    <definedName name="HTML_PathFile" hidden="1">"C:\AG 98 - SPCG\RPT dati Ramo Vita - 2001-1.htm"</definedName>
    <definedName name="HTML_Title" hidden="1">"RPT dati Ramo Vita - 2001-1"</definedName>
    <definedName name="I" hidden="1">{#N/A,#N/A,FALSE,"SINTESI GESTIONALE";#N/A,#N/A,FALSE,"all.1 - LAVORO";#N/A,#N/A,FALSE,"all. 2 - SPESE AMM.TIVE";#N/A,#N/A,FALSE," SINTESI CIVILISTICO";#N/A,#N/A,FALSE,"Commerciale"}</definedName>
    <definedName name="iio" hidden="1">{#N/A,#N/A,FALSE,"SINTESI GESTIONALE";#N/A,#N/A,FALSE,"all.1 - LAVORO";#N/A,#N/A,FALSE,"all. 2 - SPESE AMM.TIVE";#N/A,#N/A,FALSE," SINTESI CIVILISTICO";#N/A,#N/A,FALSE,"Commerciale"}</definedName>
    <definedName name="Input_B2A">'[8]SCR-B2A-S.25.01'!$C$35,'[8]SCR-B2A-S.25.01'!$C$37,'[8]SCR-B2A-S.25.01'!$C$48:$C$49,'[8]SCR-B2A-S.25.01'!$C$53:$C$54,'[8]SCR-B2A-S.25.01'!$C$25,'[8]SCR-B2A-S.25.01'!$C$29</definedName>
    <definedName name="Input_B3A">'[8]SCR-B3A-S.26.01'!$C$14:$D$14,'[8]SCR-B3A-S.26.01'!$E$14:$F$15,'[8]SCR-B3A-S.26.01'!$H$14:$H$15,'[8]SCR-B3A-S.26.01'!$D$18,'[8]SCR-B3A-S.26.01'!$F$18,'[8]SCR-B3A-S.26.01'!$H$18,'[8]SCR-B3A-S.26.01'!$C$19:$C$21,'[8]SCR-B3A-S.26.01'!$E$19:$E$21,'[8]SCR-B3A-S.26.01'!$D$22,'[8]SCR-B3A-S.26.01'!$F$22,'[8]SCR-B3A-S.26.01'!$H$22,'[8]SCR-B3A-S.26.01'!$C$23:$C$25,'[8]SCR-B3A-S.26.01'!$E$23:$E$25,'[8]SCR-B3A-S.26.01'!$C$27:$F$27,'[8]SCR-B3A-S.26.01'!$H$27,'[8]SCR-B3A-S.26.01'!$C$30:$F$30,'[8]SCR-B3A-S.26.01'!$H$30,'[8]SCR-B3A-S.26.01'!$C$33:$D$33,'[8]SCR-B3A-S.26.01'!$E$33:$F$34,'[8]SCR-B3A-S.26.01'!$C$35:$F$35,'[8]SCR-B3A-S.26.01'!$H$33:$H$35,'[8]SCR-B3A-S.26.01'!$C$37:$D$37,'[8]SCR-B3A-S.26.01'!$G$37,'[8]SCR-B3A-S.26.01'!$I$37,'[8]SCR-B3A-S.26.01'!$C$39:$D$39,'[8]SCR-B3A-S.26.01'!$G$39,'[8]SCR-B3A-S.26.01'!$I$39,'[8]SCR-B3A-S.26.01'!$C$41:$F$41,'[8]SCR-B3A-S.26.01'!$H$41,'[8]SCR-B3A-S.26.01'!$C$34:$D$34</definedName>
    <definedName name="Input_B3B">'[9]SCR-B3B-S.26.02'!$C$11:$G$20,'[9]SCR-B3B-S.26.02'!$F$22,'[9]SCR-B3B-S.26.02'!$F$23,'[9]SCR-B3B-S.26.02'!$H$25,'[9]SCR-B3B-S.26.02'!$I$10</definedName>
    <definedName name="Input_B3C_Simp">'[8]SCR-B3C Input Simp'!$C$6:$F$8,'[8]SCR-B3C Input Simp'!$J$6:$K$8,'[8]SCR-B3C Input Simp'!$H$6:$H$8,'[8]SCR-B3C Input Simp'!$C$10:$D$10,'[8]SCR-B3C Input Simp'!$E$10:$F$11,'[8]SCR-B3C Input Simp'!$J$10:$K$11,'[8]SCR-B3C Input Simp'!$C$12:$F$15,'[8]SCR-B3C Input Simp'!$J$13:$K$13,'[8]SCR-B3C Input Simp'!$N$14,'[8]SCR-B3C Input Simp'!$P$14,'[8]SCR-B3C Input Simp'!$H$10:$H$15,'[8]SCR-B3C Input Simp'!$J$15:$K$15,'[8]SCR-B3C Input Simp'!$M$14,'[8]SCR-B3C Input Simp'!$C$20,'[8]SCR-B3C Input Simp'!$C$11:$D$11</definedName>
    <definedName name="Input_B3D_B3E_Geo_Div">'[8]SCR-B3D &amp; B3E Geo Div'!$D$48:$H$63,'[8]SCR-B3D &amp; B3E Geo Div'!$D$67:$H$82,'[8]SCR-B3D &amp; B3E Geo Div'!$D$86:$H$101,'[8]SCR-B3D &amp; B3E Geo Div'!$D$105:$H$120,'[8]SCR-B3D &amp; B3E Geo Div'!$D$124:$H$139,'[8]SCR-B3D &amp; B3E Geo Div'!$D$143:$H$158,'[8]SCR-B3D &amp; B3E Geo Div'!$D$162:$H$177,'[8]SCR-B3D &amp; B3E Geo Div'!$D$181:$H$196,'[8]SCR-B3D &amp; B3E Geo Div'!$D$200:$H$215,'[8]SCR-B3D &amp; B3E Geo Div'!$D$219:$H$234,'[8]SCR-B3D &amp; B3E Geo Div'!$D$238:$H$253,'[8]SCR-B3D &amp; B3E Geo Div'!$D$257:$H$272,'[8]SCR-B3D &amp; B3E Geo Div'!$D$276:$H$291,'[8]SCR-B3D &amp; B3E Geo Div'!$D$295:$H$310,'[8]SCR-B3D &amp; B3E Geo Div'!$D$314:$H$329,'[8]SCR-B3D &amp; B3E Geo Div'!$D$333:$H$348,'[8]SCR-B3D &amp; B3E Geo Div'!$D$352:$H$367,'[8]SCR-B3D &amp; B3E Geo Div'!$D$371:$H$386</definedName>
    <definedName name="Input_B3D_B3E_PremRes">'[8]SCR-B3D &amp; B3E PremRes'!$F$8:$F$11,'[8]SCR-B3D &amp; B3E PremRes'!$F$14:$F$25</definedName>
    <definedName name="Input_B3D_Simp">'[8]SCR-B3D Input Simp'!$C$6:$F$7,'[8]SCR-B3D Input Simp'!$J$6:$K$7,'[8]SCR-B3D Input Simp'!$H$6:$H$7,'[8]SCR-B3D Input Simp'!$C$9:$D$9,'[8]SCR-B3D Input Simp'!$E$10:$F$11,'[8]SCR-B3D Input Simp'!$C$12:$F$12,'[8]SCR-B3D Input Simp'!$H$10:$H$12,'[8]SCR-B3D Input Simp'!$J$12:$K$12,'[8]SCR-B3D Input Simp'!$C$14:$D$14,'[8]SCR-B3D Input Simp'!$E$14:$F$15,'[8]SCR-B3D Input Simp'!$J$14:$K$15,'[8]SCR-B3D Input Simp'!$C$16:$F$18,'[8]SCR-B3D Input Simp'!$J$17:$K$17,'[8]SCR-B3D Input Simp'!$H$14:$H$18,'[8]SCR-B3D Input Simp'!$M$18:$N$18,'[8]SCR-B3D Input Simp'!$P$18,'[8]SCR-B3D Input Simp'!$C$23,'[8]SCR-B3D Input Simp'!$C$15:$D$15</definedName>
    <definedName name="Input_B3F">'[8]SCR-B3F-S.27.01'!$D$38:$F$57,'[8]SCR-B3F-S.27.01'!$D$59:$E$72,'[8]SCR-B3F-S.27.01'!$I$73:$K$73,'[8]SCR-B3F-S.27.01'!$D$81:$F$100,'[8]SCR-B3F-S.27.01'!$H$81:$J$100,'[8]SCR-B3F-S.27.01'!$D$102:$E$115,'[8]SCR-B3F-S.27.01'!$H$116:$J$116,'[8]SCR-B3F-S.27.01'!$D$124:$F$137,'[8]SCR-B3F-S.27.01'!$D$139:$E$152,'[8]SCR-B3F-S.27.01'!$I$153:$K$153,'[8]SCR-B3F-S.27.01'!$D$161:$F$169,'[8]SCR-B3F-S.27.01'!$D$171:$E$184,'[8]SCR-B3F-S.27.01'!$I$185:$K$185,'[8]SCR-B3F-S.27.01'!$D$194:$F$194,'[8]SCR-B3F-S.27.01'!$I$194:$J$194,'[8]SCR-B3F-S.27.01'!$H$195,'[8]SCR-B3F-S.27.01'!$K$195,'[8]SCR-B3F-S.27.01'!$D$200:$G$200,'[8]SCR-B3F-S.27.01'!$C$205:$D$205,'[8]SCR-B3F-S.27.01'!$F$205:$G$205,'[8]SCR-B3F-S.27.01'!$D$210:$F$210,'[8]SCR-B3F-S.27.01'!$H$210:$I$210,'[8]SCR-B3F-S.27.01'!$D$215:$H$215,'[8]SCR-B3F-S.27.01'!$J$215:$K$215,'[8]SCR-B3F-S.27.01'!$D$228:$E$228,'[8]SCR-B3F-S.27.01'!$G$228:$H$228,'[8]SCR-B3F-S.27.01'!$C$233:$E$233,'[8]SCR-B3F-S.27.01'!$D$238:$I$242,'[8]SCR-B3F-S.27.01'!$D$256:$E$257,'[8]SCR-B3F-S.27.01'!$G$256:$H$257,'[8]SCR-B3F-S.27.01'!$D$262,'[8]SCR-B3F-S.27.01'!$F$262:$G$262,'[8]SCR-B3F-S.27.01'!$D$287:$P$317,'[8]SCR-B3F-S.27.01'!$D$326:$L$356,'[8]SCR-B3F-S.27.01'!$F$364:$M$394,'[8]SCR-B3F-S.27.01'!$D$395:$E$395,'[8]SCR-B3F-S.27.01'!$N$395:$O$395,'[8]SCR-B3F-S.27.01'!$K$210,'[8]SCR-B3F-S.27.01'!$M$215</definedName>
    <definedName name="Input_B3F_Input_Par">'[8]SCR-B3F Input Par'!$F$10:$G$29,'[8]SCR-B3F Input Par'!$I$10:$J$29,'[8]SCR-B3F Input Par'!$M$10:$N$29,'[8]SCR-B3F Input Par'!$P$10:$Q$29,'[8]SCR-B3F Input Par'!$D$10:$D$29,'[8]SCR-B3F Input Par'!$F$31:$G$44,'[8]SCR-B3F Input Par'!$I$31:$J$44,'[8]SCR-B3F Input Par'!$M$31:$N$44,'[8]SCR-B3F Input Par'!$P$31:$Q$44,'[8]SCR-B3F Input Par'!$D$31:$D$44,'[8]SCR-B3F Input Par'!$F$46:$G$54,'[8]SCR-B3F Input Par'!$I$46:$J$54,'[8]SCR-B3F Input Par'!$M$46:$N$54,'[8]SCR-B3F Input Par'!$P$46:$Q$54,'[8]SCR-B3F Input Par'!$D$46:$D$54,'[8]SCR-B3F Input Par'!$C$63:$C$67</definedName>
    <definedName name="Input_B3G">'[8]SCR-B3G-S.26.06'!$C$6:$C$8,'[8]SCR-B3G-S.26.06'!$C$11:$C$16,'[8]SCR-B3G-S.26.06'!$C$23</definedName>
    <definedName name="Input_B4A">'[8]MCR-B4A-S.28.01'!$E$8:$F$23,'[8]MCR-B4A-S.28.01'!$E$29:$E$32,'[8]MCR-B4A-S.28.01'!$F$33</definedName>
    <definedName name="Input_B4B">'[8]MCR-B4B-S.28.02'!$G$9:$H$24,'[8]MCR-B4B-S.28.02'!$J$9:$K$24,'[8]MCR-B4B-S.28.02'!$G$30:$G$33,'[8]MCR-B4B-S.28.02'!$H$34,'[8]MCR-B4B-S.28.02'!$J$30:$J$33,'[8]MCR-B4B-S.28.02'!$K$34</definedName>
    <definedName name="interc1" hidden="1">{#N/A,#N/A,FALSE,"SINTESI GESTIONALE";#N/A,#N/A,FALSE,"all.1 - LAVORO";#N/A,#N/A,FALSE,"all. 2 - SPESE AMM.TIVE";#N/A,#N/A,FALSE," SINTESI CIVILISTICO";#N/A,#N/A,FALSE,"Commerciale"}</definedName>
    <definedName name="io" hidden="1">{#N/A,#N/A,FALSE,"SINTESI GESTIONALE";#N/A,#N/A,FALSE,"all.1 - LAVORO";#N/A,#N/A,FALSE,"all. 2 - SPESE AMM.TIVE";#N/A,#N/A,FALSE," SINTESI CIVILISTICO";#N/A,#N/A,FALSE,"Commerciale"}</definedName>
    <definedName name="iou" hidden="1">{#N/A,#N/A,FALSE,"SINTESI GESTIONALE";#N/A,#N/A,FALSE,"all.1 - LAVORO";#N/A,#N/A,FALSE,"all. 2 - SPESE AMM.TIVE";#N/A,#N/A,FALSE," SINTESI CIVILISTICO";#N/A,#N/A,FALSE,"Commerciale"}</definedName>
    <definedName name="ipotesisott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ISTITUTO">#REF!</definedName>
    <definedName name="iu" hidden="1">{#N/A,#N/A,FALSE,"SINTESI GESTIONALE";#N/A,#N/A,FALSE,"all.1 - LAVORO";#N/A,#N/A,FALSE,"all. 2 - SPESE AMM.TIVE";#N/A,#N/A,FALSE," SINTESI CIVILISTICO";#N/A,#N/A,FALSE,"Commerciale"}</definedName>
    <definedName name="jdghfff" hidden="1">{"'RamoVita-mo'!$B$1:$J$85"}</definedName>
    <definedName name="jjj" hidden="1">{"'RamoVita-mo'!$B$1:$J$85"}</definedName>
    <definedName name="jkldfjklfjkldfjklsdf" hidden="1">{"'RamoVita-mo'!$B$1:$J$85"}</definedName>
    <definedName name="jksdgjkghjkggf" hidden="1">{"'RamoVita-mo'!$B$1:$J$85"}</definedName>
    <definedName name="jòàù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k" hidden="1">{#N/A,#N/A,FALSE,"SINTESI GESTIONALE";#N/A,#N/A,FALSE,"all.1 - LAVORO";#N/A,#N/A,FALSE,"all. 2 - SPESE AMM.TIVE";#N/A,#N/A,FALSE," SINTESI CIVILISTICO";#N/A,#N/A,FALSE,"Commerciale"}</definedName>
    <definedName name="kjwerwerwerqwerwqr" hidden="1">{"'RamoVita-mo'!$B$1:$J$85"}</definedName>
    <definedName name="kk" hidden="1">{"AG_Rete",#N/A,FALSE,"Area Rete";"AG_intergruppo",#N/A,FALSE,"Area Intergruppo";"AG_filiali",#N/A,FALSE,"Area Filiali";"AG_finanza",#N/A,FALSE,"Area Finanza";"AG_struttura",#N/A,FALSE,"Area Struttura"}</definedName>
    <definedName name="kljòjkl" hidden="1">{#N/A,#N/A,FALSE,"SINTESI GESTIONALE";#N/A,#N/A,FALSE,"all.1 - LAVORO";#N/A,#N/A,FALSE,"all. 2 - SPESE AMM.TIVE";#N/A,#N/A,FALSE," SINTESI CIVILISTICO";#N/A,#N/A,FALSE,"Commerciale"}</definedName>
    <definedName name="l" hidden="1">{#N/A,#N/A,FALSE,"SINTESI GESTIONALE";#N/A,#N/A,FALSE,"all.1 - LAVORO";#N/A,#N/A,FALSE,"all. 2 - SPESE AMM.TIVE";#N/A,#N/A,FALSE," SINTESI CIVILISTICO";#N/A,#N/A,FALSE,"Commerciale"}</definedName>
    <definedName name="Lapse_shock">'[10]BE_Premi_Lapse risk'!$B$2</definedName>
    <definedName name="Life.Components">#REF!</definedName>
    <definedName name="Life.Corr">#REF!</definedName>
    <definedName name="ll" hidden="1">{TRUE,TRUE,-1.25,-15.5,484.5,276.75,FALSE,TRUE,TRUE,TRUE,0,38,#N/A,126,#N/A,12.4473684210526,31.7272727272727,1,FALSE,FALSE,3,TRUE,1,FALSE,50,"Swvu.FASE4_BUDGET.","ACwvu.FASE4_BUDGET.",#N/A,FALSE,FALSE,0.196850393700787,0.196850393700787,0.393700787401575,0.196850393700787,2,"","",TRUE,TRUE,FALSE,FALSE,1,75,#N/A,#N/A,"=R141C44:R168C57","=R72:R76","Rwvu.FASE4_BUDGET.","Cwvu.FASE4_BUDGET.",FALSE,FALSE,TRUE,9,65532,65532,FALSE,FALSE,TRUE,TRUE,TRUE}</definedName>
    <definedName name="LoB">[10]BE_RS!$B$63:$M$63</definedName>
    <definedName name="LSCNDBNVJKB" hidden="1">{"'RamoVita-mo'!$B$1:$J$85"}</definedName>
    <definedName name="merda" hidden="1">{"'RamoVita-mo'!$B$1:$J$85"}</definedName>
    <definedName name="merdaccia" hidden="1">{"'RamoVita-mo'!$B$1:$J$85"}</definedName>
    <definedName name="modulo">#REF!</definedName>
    <definedName name="nn" hidden="1">{#N/A,#N/A,FALSE,"SINTESI GESTIONALE";#N/A,#N/A,FALSE,"all.1 - LAVORO";#N/A,#N/A,FALSE,"all. 2 - SPESE AMM.TIVE";#N/A,#N/A,FALSE," SINTESI CIVILISTICO";#N/A,#N/A,FALSE,"Commerciale"}</definedName>
    <definedName name="nnnnn" hidden="1">{"'RIEPILOGO'!$A$1:$E$83"}</definedName>
    <definedName name="nnnnnnn" hidden="1">{"'RIEPILOGO'!$A$1:$E$83"}</definedName>
    <definedName name="ò" hidden="1">{#N/A,#N/A,FALSE,"SINTESI GESTIONALE";#N/A,#N/A,FALSE,"all.1 - LAVORO";#N/A,#N/A,FALSE,"all. 2 - SPESE AMM.TIVE";#N/A,#N/A,FALSE," SINTESI CIVILISTICO";#N/A,#N/A,FALSE,"Commerciale"}</definedName>
    <definedName name="ogg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omooo" hidden="1">{#N/A,#N/A,FALSE,"SINTESI GESTIONALE";#N/A,#N/A,FALSE,"all.1 - LAVORO";#N/A,#N/A,FALSE,"all. 2 - SPESE AMM.TIVE";#N/A,#N/A,FALSE," SINTESI CIVILISTICO";#N/A,#N/A,FALSE,"Commerciale"}</definedName>
    <definedName name="ooooo" hidden="1">{"'RamoVita-mo'!$B$1:$J$85"}</definedName>
    <definedName name="ooooooooo" hidden="1">{"'RamoVita-mo'!$B$1:$J$85"}</definedName>
    <definedName name="opopo" hidden="1">{"'RamoVita-mo'!$B$1:$J$85"}</definedName>
    <definedName name="oppèèèè" hidden="1">{"'RamoVita-mo'!$B$1:$J$85"}</definedName>
    <definedName name="Pal_Workbook_GUID" hidden="1">"YX4DEBZKGSFL59TIVXFHLD8Z"</definedName>
    <definedName name="palla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PAPERINA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PD">[10]Credit_Rating!$B$2:$C$8</definedName>
    <definedName name="pinguino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pinguinotto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PIPPOOOOOOOOOOOOOO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pippoppppp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pliuuoop" hidden="1">{"'RamoVita-mo'!$B$1:$J$85"}</definedName>
    <definedName name="plomb" hidden="1">{"'RamoVita-mo'!$B$1:$J$85"}</definedName>
    <definedName name="pluto" hidden="1">{#N/A,#N/A,FALSE,"SINTESI GESTIONALE";#N/A,#N/A,FALSE,"all.1 - LAVORO";#N/A,#N/A,FALSE,"all. 2 - SPESE AMM.TIVE";#N/A,#N/A,FALSE," SINTESI CIVILISTICO";#N/A,#N/A,FALSE,"Commerciale"}</definedName>
    <definedName name="pp" hidden="1">{"'RIEPILOGO'!$A$1:$E$83"}</definedName>
    <definedName name="ppioloiliolloi" hidden="1">{"'RamoVita-mo'!$B$1:$J$85"}</definedName>
    <definedName name="ppp" hidden="1">{"'RIEPILOGO'!$A$1:$E$83"}</definedName>
    <definedName name="pppopopopp" hidden="1">{"'RamoVita-mo'!$B$1:$J$85"}</definedName>
    <definedName name="pppp" hidden="1">{#N/A,#N/A,FALSE,"SINTESI GESTIONALE";#N/A,#N/A,FALSE,"all.1 - LAVORO";#N/A,#N/A,FALSE,"all. 2 - SPESE AMM.TIVE";#N/A,#N/A,FALSE," SINTESI CIVILISTICO";#N/A,#N/A,FALSE,"Commerciale"}</definedName>
    <definedName name="pppplpplplp" hidden="1">{"'RamoVita-mo'!$B$1:$J$85"}</definedName>
    <definedName name="ppppp" hidden="1">{"'RamoVita-mo'!$B$1:$J$85"}</definedName>
    <definedName name="pppppppppppppppppppppppppppp" hidden="1">{"'RamoVita-mo'!$B$1:$J$85"}</definedName>
    <definedName name="ProbDefault">[11]Rating!$C$2:$D$10</definedName>
    <definedName name="qefgyyu" hidden="1">{"AG_Rete",#N/A,FALSE,"Area Rete";"AG_intergruppo",#N/A,FALSE,"Area Intergruppo";"AG_filiali",#N/A,FALSE,"Area Filiali";"AG_finanza",#N/A,FALSE,"Area Finanza";"AG_struttura",#N/A,FALSE,"Area Struttura"}</definedName>
    <definedName name="qefw" hidden="1">{"'RamoVita-mo'!$B$1:$J$85"}</definedName>
    <definedName name="QQQ" hidden="1">{#N/A,#N/A,FALSE,"SINTESI GESTIONALE";#N/A,#N/A,FALSE,"all.1 - LAVORO";#N/A,#N/A,FALSE,"all. 2 - SPESE AMM.TIVE";#N/A,#N/A,FALSE," SINTESI CIVILISTICO";#N/A,#N/A,FALSE,"Commerciale"}</definedName>
    <definedName name="qqqq" hidden="1">{"'RamoVita-mo'!$B$1:$J$85"}</definedName>
    <definedName name="qwqqq" hidden="1">{"'RamoVita-mo'!$B$1:$J$85"}</definedName>
    <definedName name="RAMO">#REF!</definedName>
    <definedName name="RAPPORTO">#REF!</definedName>
    <definedName name="refresh_macro">'[12]Shock Assets'!$C$16</definedName>
    <definedName name="reregggg" hidden="1">{"'RamoVita-mo'!$B$1:$J$85"}</definedName>
    <definedName name="RIS_SIN">[10]BE_RS!$A$63:$M$79</definedName>
    <definedName name="Riserva_sinistri_ced">[10]BE_RS!$A$106:$M$124</definedName>
    <definedName name="risk_old" hidden="1">{#N/A,#N/A,FALSE,"SINTESI GESTIONALE";#N/A,#N/A,FALSE,"all.1 - LAVORO";#N/A,#N/A,FALSE,"all. 2 - SPESE AMM.TIVE";#N/A,#N/A,FALSE," SINTESI CIVILISTICO";#N/A,#N/A,FALSE,"Commerciale"}</definedName>
    <definedName name="rorporpeo" hidden="1">{#N/A,#N/A,FALSE,"SINTESI GESTIONALE";#N/A,#N/A,FALSE,"all.1 - LAVORO";#N/A,#N/A,FALSE,"all. 2 - SPESE AMM.TIVE";#N/A,#N/A,FALSE," SINTESI CIVILISTICO";#N/A,#N/A,FALSE,"Commerciale"}</definedName>
    <definedName name="rr" hidden="1">{#N/A,#N/A,FALSE,"SINTESI GESTIONALE";#N/A,#N/A,FALSE,"all.1 - LAVORO";#N/A,#N/A,FALSE,"all. 2 - SPESE AMM.TIVE";#N/A,#N/A,FALSE," SINTESI CIVILISTICO";#N/A,#N/A,FALSE,"Commerciale"}</definedName>
    <definedName name="rrrr" hidden="1">{"'RamoVita-mo'!$B$1:$J$85"}</definedName>
    <definedName name="S.02.01.10.1">#REF!</definedName>
    <definedName name="S.02.01.10.1.Z">#REF!</definedName>
    <definedName name="S_01_01_01_01_S_01_02_b_Basic_Information">[13]CRT_Filters!$LA$1</definedName>
    <definedName name="S_01_01_01_01_S_02_01_b_Balance_Sheet">[13]CRT_Filters!$LB$1:$LB$2</definedName>
    <definedName name="S_01_01_01_01_S_02_02_b_Assets_and_liabilities_by_currency">[13]CRT_Filters!$LC$1:$LC$3</definedName>
    <definedName name="S_01_01_01_01_S_06_02_b_List_of_assets">[13]CRT_Filters!$LD$1:$LD$2</definedName>
    <definedName name="S_01_01_01_01_S_08_01_b_Open_derivatives">[13]CRT_Filters!$LE$1:$LE$3</definedName>
    <definedName name="S_01_01_01_01_S_12_01_b_Life_and_Health_SLT_Technical_Provisions">[13]CRT_Filters!$LF$1:$LF$4</definedName>
    <definedName name="S_01_01_01_01_S_17_01_b_Non_Life_Technical_Provisions">[13]CRT_Filters!$LG$1:$LG$4</definedName>
    <definedName name="S_01_01_01_01_S_23_01_b_Own_funds">[13]CRT_Filters!$LH$1:$LH$2</definedName>
    <definedName name="S_01_01_01_01_S_25_01_b_Solvency_Capital_Requirement_SF">[13]CRT_Filters!$LI$1:$LI$3</definedName>
    <definedName name="S_01_01_01_01_S_25_02_b_Solvency_Capital_Requirement_PIM">[13]CRT_Filters!$LJ$1:$LJ$4</definedName>
    <definedName name="S_01_01_01_01_S_25_03_b_Solvency_Capital_Requirement_IM">[13]CRT_Filters!$LK$1:$LK$4</definedName>
    <definedName name="S_01_01_01_01_S_26_01_b_Solvency_Capital_Requirement_Market_risk">[13]CRT_Filters!$LL$1:$LL$4</definedName>
    <definedName name="S_01_01_01_01_S_26_02_b_Solvency_Capital_Requirement_Counterparty_default_risk">[13]CRT_Filters!$LM$1:$LM$4</definedName>
    <definedName name="S_01_01_01_01_S_26_03_b_Solvency_Capital_Requirement_Life_underwriting_risk">[13]CRT_Filters!$LN$1:$LN$4</definedName>
    <definedName name="S_01_01_01_01_S_26_04_b_Solvency_Capital_Requirement_Health_underwriting_risk">[13]CRT_Filters!$LO$1:$LO$4</definedName>
    <definedName name="S_01_01_01_01_S_26_05_b_Solvency_Capital_Requirement_Non_Life_underwriting_risk">[13]CRT_Filters!$LP$1:$LP$4</definedName>
    <definedName name="S_01_01_01_01_S_26_06_b_Solvency_Capital_Requirement_Operational_risk">[13]CRT_Filters!$LQ$1:$LQ$4</definedName>
    <definedName name="S_01_01_01_01_S_27_01_b_Solvency_Capital_Requirement_Non_Life_Catastrophe_risk">[13]CRT_Filters!$LR$1:$LR$4</definedName>
    <definedName name="S_01_01_01_01_S_28_01_b_Minimum_Capital_Requirement">[13]CRT_Filters!$LS$1:$LS$3</definedName>
    <definedName name="S_01_01_01_01_S_28_02_b_Minimum_Capital_Requirement_Composite">[13]CRT_Filters!$LT$1:$LT$3</definedName>
    <definedName name="S_01_02_01_01_Accounting_standard">[14]CRT_Filters!$KV$1:$KV$10</definedName>
    <definedName name="S_01_02_01_01_Composite_undertaking_Y_N_">[14]CRT_Filters!$KX$1:$KX$3</definedName>
    <definedName name="S_01_02_01_01_Currency_used_for_reporting">[14]CRT_Filters!$KU$1:$KU$179</definedName>
    <definedName name="S_01_02_01_01_Home_Country">[14]CRT_Filters!$KZ$1:$KZ$31</definedName>
    <definedName name="S_01_02_01_01_Model_used">[14]CRT_Filters!$KW$1:$KW$3</definedName>
    <definedName name="S_01_02_01_01_RFF_Y_N_">[14]CRT_Filters!$KY$1:$KY$3</definedName>
    <definedName name="sa" hidden="1">{"'RamoVita-mo'!$B$1:$J$85"}</definedName>
    <definedName name="SAPBEXdnldView" hidden="1">"44JP7N2A9NGQYYSBAUNJQRTJZ"</definedName>
    <definedName name="sapbexmarti" hidden="1">"3YATUFNUXBGAG0J4B9EW5OKR0"</definedName>
    <definedName name="SAPBEXrevision" hidden="1">10</definedName>
    <definedName name="SAPBEXsysID" hidden="1">"PBW"</definedName>
    <definedName name="SAPBEXwbID" hidden="1">"3QDDMPR20I4CMDQTGIAR2VQ51"</definedName>
    <definedName name="sasasa" hidden="1">{"'RamoVita-mo'!$B$1:$J$85"}</definedName>
    <definedName name="sasffdsfdfdvfdf" hidden="1">{"'RamoVita-mo'!$B$1:$J$85"}</definedName>
    <definedName name="scale">[15]Main!$C$4</definedName>
    <definedName name="sd" hidden="1">{"'RamoVita-mo'!$B$1:$J$85"}</definedName>
    <definedName name="sdgsd" hidden="1">{"'RamoVita-mo'!$B$1:$J$85"}</definedName>
    <definedName name="sdsdasdasdasdasdasd" hidden="1">{"'RamoVita-mo'!$B$1:$J$85"}</definedName>
    <definedName name="sdsdfsdf" hidden="1">{"'RamoVita-mo'!$B$1:$J$85"}</definedName>
    <definedName name="sfaf" hidden="1">{"'RamoVita-mo'!$B$1:$J$85"}</definedName>
    <definedName name="sfgshfj" hidden="1">{#N/A,#N/A,FALSE,"SINTESI GESTIONALE";#N/A,#N/A,FALSE,"all.1 - LAVORO";#N/A,#N/A,FALSE,"all. 2 - SPESE AMM.TIVE";#N/A,#N/A,FALSE," SINTESI CIVILISTICO";#N/A,#N/A,FALSE,"Commerciale"}</definedName>
    <definedName name="SGWINTER">'[6]SPESE GENERALI'!#REF!</definedName>
    <definedName name="Sin_LoB_1">#REF!</definedName>
    <definedName name="Sin_LoB_10">#REF!</definedName>
    <definedName name="Sin_LoB_11">#REF!</definedName>
    <definedName name="Sin_LoB_12">#REF!</definedName>
    <definedName name="Sin_LoB_2">#REF!</definedName>
    <definedName name="Sin_LoB_3">#REF!</definedName>
    <definedName name="Sin_LoB_4">#REF!</definedName>
    <definedName name="Sin_LoB_5">#REF!</definedName>
    <definedName name="Sin_LoB_6">#REF!</definedName>
    <definedName name="Sin_LoB_7">#REF!</definedName>
    <definedName name="Sin_LoB_8">#REF!</definedName>
    <definedName name="Sin_LoB_9">#REF!</definedName>
    <definedName name="SJFURMNNF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SKNF" hidden="1">{TRUE,TRUE,-2,-16.25,484.5,288,FALSE,TRUE,TRUE,TRUE,0,25,#N/A,94,#N/A,19.6470588235294,29.8181818181818,1,FALSE,FALSE,3,TRUE,1,FALSE,50,"Swvu.FASE2_PREC.","ACwvu.FASE2_PREC.",1,FALSE,FALSE,0.196850393700787,0.196850393700787,0.393700787401575,0.196850393700787,2,"","",TRUE,TRUE,FALSE,FALSE,1,#N/A,1,1,"=R99C31:R116C59","=R74:R77",#N/A,#N/A,FALSE,FALSE}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um" hidden="1">1</definedName>
    <definedName name="solver_nwt" hidden="1">1</definedName>
    <definedName name="solver_pre" hidden="1">0.000001</definedName>
    <definedName name="solver_rel1" hidden="1">1</definedName>
    <definedName name="solver_rhs1" hidden="1">70000</definedName>
    <definedName name="solver_scl" hidden="1">2</definedName>
    <definedName name="solver_sho" hidden="1">2</definedName>
    <definedName name="solver_tim" hidden="1">100</definedName>
    <definedName name="solver_tmp" hidden="1">70000</definedName>
    <definedName name="solver_tol" hidden="1">0.05</definedName>
    <definedName name="solver_typ" hidden="1">1</definedName>
    <definedName name="solver_val" hidden="1">35000</definedName>
    <definedName name="Spot_Rate">[10]Spot_RiskFree!$A$4:$C$153</definedName>
    <definedName name="ss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SSSS" hidden="1">{"Cop_testo",#N/A,FALSE,"Copertine";"testo_pag1_4",#N/A,FALSE,"Testo";"pag5",#N/A,FALSE,"P.F.";"pag6.7",#N/A,FALSE,"Ipotesi generali";"testo_pag8_9",#N/A,FALSE,"Testo";"pag10",#N/A,FALSE,"Flussi e stock";"testo_pag_11",#N/A,FALSE,"Testo";"pag12.14",#N/A,FALSE,"Fondi";"testo_pag_15",#N/A,FALSE,"Testo";"pag16_17",#N/A,FALSE,"Fondi";"pag18",#N/A,FALSE,"Fondi";"testo_pag_19",#N/A,FALSE,"Testo";"pag20",#N/A,FALSE,"Commissioni rete";"testo_pag_21",#N/A,FALSE,"Testo";"pag22",#N/A,FALSE,"NVV";"testo_pag_23",#N/A,FALSE,"Testo";"pag24",#N/A,FALSE,"Costi operativi";"testo_pag_25",#N/A,FALSE,"Testo";"pag26",#N/A,FALSE,"C.E_BF";"pag27",#N/A,FALSE,"C.E_BF";"testo_pag_28_29",#N/A,FALSE,"Testo";"pag30_36",#N/A,FALSE,"C.E_Soc_prod";"testo_pag37_42",#N/A,FALSE,"Testo"}</definedName>
    <definedName name="ssssaahjyy" hidden="1">{"'RIEPILOGO'!$A$1:$E$83"}</definedName>
    <definedName name="sssss" hidden="1">{TRUE,TRUE,-2,-16.25,484.5,288,FALSE,TRUE,TRUE,TRUE,0,25,#N/A,94,#N/A,19.6470588235294,29.8181818181818,1,FALSE,FALSE,3,TRUE,1,FALSE,50,"Swvu.FASE2_PREC.","ACwvu.FASE2_PREC.",1,FALSE,FALSE,0.196850393700787,0.196850393700787,0.393700787401575,0.196850393700787,2,"","",TRUE,TRUE,FALSE,FALSE,1,#N/A,1,1,"=R99C31:R116C59","=R74:R77",#N/A,#N/A,FALSE,FALSE}</definedName>
    <definedName name="ssssss" hidden="1">{"'RamoVita-mo'!$B$1:$J$85"}</definedName>
    <definedName name="STATO">#REF!</definedName>
    <definedName name="t" hidden="1">{#N/A,#N/A,FALSE,"SINTESI GESTIONALE";#N/A,#N/A,FALSE,"all.1 - LAVORO";#N/A,#N/A,FALSE,"all. 2 - SPESE AMM.TIVE";#N/A,#N/A,FALSE," SINTESI CIVILISTICO";#N/A,#N/A,FALSE,"Commerciale"}</definedName>
    <definedName name="tasso_tecnico">[2]calcolo!$B$27</definedName>
    <definedName name="tava" hidden="1">{#N/A,#N/A,FALSE,"SINTESI GESTIONALE";#N/A,#N/A,FALSE,"all.1 - LAVORO";#N/A,#N/A,FALSE,"all. 2 - SPESE AMM.TIVE";#N/A,#N/A,FALSE," SINTESI CIVILISTICO";#N/A,#N/A,FALSE,"Commerciale"}</definedName>
    <definedName name="tenero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tg" hidden="1">{"'RamoVita-mo'!$B$1:$J$85"}</definedName>
    <definedName name="tirotioniobtr" hidden="1">{"'RamoVita-mo'!$B$1:$J$85"}</definedName>
    <definedName name="TRATTATO">#REF!</definedName>
    <definedName name="troiu" hidden="1">{"'RamoVita-mo'!$B$1:$J$85"}</definedName>
    <definedName name="trrionuvnui" hidden="1">{"'RamoVita-mo'!$B$1:$J$85"}</definedName>
    <definedName name="trtrtrtr" hidden="1">{"'RamoVita-mo'!$B$1:$J$85"}</definedName>
    <definedName name="trwetghgfhgh" hidden="1">{"'RamoVita-mo'!$B$1:$J$85"}</definedName>
    <definedName name="tt" hidden="1">{#N/A,#N/A,FALSE,"SINTESI GESTIONALE";#N/A,#N/A,FALSE,"all.1 - LAVORO";#N/A,#N/A,FALSE,"all. 2 - SPESE AMM.TIVE";#N/A,#N/A,FALSE," SINTESI CIVILISTICO";#N/A,#N/A,FALSE,"Commerciale"}</definedName>
    <definedName name="ttreretrtr" hidden="1">{"'RamoVita-mo'!$B$1:$J$85"}</definedName>
    <definedName name="ttttttttttttt" hidden="1">{#N/A,#N/A,FALSE,"SINTESI GESTIONALE";#N/A,#N/A,FALSE,"all.1 - LAVORO";#N/A,#N/A,FALSE,"all. 2 - SPESE AMM.TIVE";#N/A,#N/A,FALSE," SINTESI CIVILISTICO";#N/A,#N/A,FALSE,"Commerciale"}</definedName>
    <definedName name="turto" hidden="1">{"'RamoVita-mo'!$B$1:$J$85"}</definedName>
    <definedName name="tuttuiuerioe" hidden="1">{"'RamoVita-mo'!$B$1:$J$85"}</definedName>
    <definedName name="tyui" hidden="1">{"'RamoVita-mo'!$B$1:$J$85"}</definedName>
    <definedName name="u" hidden="1">{#N/A,#N/A,FALSE,"SINTESI GESTIONALE";#N/A,#N/A,FALSE,"all.1 - LAVORO";#N/A,#N/A,FALSE,"all. 2 - SPESE AMM.TIVE";#N/A,#N/A,FALSE," SINTESI CIVILISTICO";#N/A,#N/A,FALSE,"Commerciale"}</definedName>
    <definedName name="ui" hidden="1">{#N/A,#N/A,FALSE,"SINTESI GESTIONALE";#N/A,#N/A,FALSE,"all.1 - LAVORO";#N/A,#N/A,FALSE,"all. 2 - SPESE AMM.TIVE";#N/A,#N/A,FALSE," SINTESI CIVILISTICO";#N/A,#N/A,FALSE,"Commerciale"}</definedName>
    <definedName name="uiui" hidden="1">{#N/A,#N/A,FALSE,"SINTESI GESTIONALE";#N/A,#N/A,FALSE,"all.1 - LAVORO";#N/A,#N/A,FALSE,"all. 2 - SPESE AMM.TIVE";#N/A,#N/A,FALSE," SINTESI CIVILISTICO";#N/A,#N/A,FALSE,"Commerciale"}</definedName>
    <definedName name="uiwerwefbnk" hidden="1">{"'RamoVita-mo'!$B$1:$J$85"}</definedName>
    <definedName name="ukil" hidden="1">{"'RamoVita-mo'!$B$1:$J$85"}</definedName>
    <definedName name="um" hidden="1">{"'RamoVita-mo'!$B$1:$J$85"}</definedName>
    <definedName name="uuuuupplo.olololo" hidden="1">{"'RamoVita-mo'!$B$1:$J$85"}</definedName>
    <definedName name="valuation_date">[12]Main!$C$6</definedName>
    <definedName name="vavvavvvjlsjflkjsalkfjòasl" hidden="1">{#N/A,#N/A,FALSE,"SINTESI GESTIONALE";#N/A,#N/A,FALSE,"all.1 - LAVORO";#N/A,#N/A,FALSE,"all. 2 - SPESE AMM.TIVE";#N/A,#N/A,FALSE," SINTESI CIVILISTICO";#N/A,#N/A,FALSE,"Commerciale"}</definedName>
    <definedName name="Version">"20100721-Solo-pretest"</definedName>
    <definedName name="VERZO" hidden="1">{#N/A,#N/A,FALSE,"SINTESI GESTIONALE";#N/A,#N/A,FALSE,"all.1 - LAVORO";#N/A,#N/A,FALSE,"all. 2 - SPESE AMM.TIVE";#N/A,#N/A,FALSE," SINTESI CIVILISTICO";#N/A,#N/A,FALSE,"Commerciale"}</definedName>
    <definedName name="we" hidden="1">{#N/A,#N/A,FALSE,"SINTESI GESTIONALE";#N/A,#N/A,FALSE,"all.1 - LAVORO";#N/A,#N/A,FALSE,"all. 2 - SPESE AMM.TIVE";#N/A,#N/A,FALSE," SINTESI CIVILISTICO";#N/A,#N/A,FALSE,"Commerciale"}</definedName>
    <definedName name="weewew" hidden="1">{"'RamoVita-mo'!$B$1:$J$85"}</definedName>
    <definedName name="wewertrrwb" hidden="1">{"'RamoVita-mo'!$B$1:$J$85"}</definedName>
    <definedName name="wgw" hidden="1">{#N/A,#N/A,FALSE,"SINTESI GESTIONALE";#N/A,#N/A,FALSE,"all.1 - LAVORO";#N/A,#N/A,FALSE,"all. 2 - SPESE AMM.TIVE";#N/A,#N/A,FALSE," SINTESI CIVILISTICO";#N/A,#N/A,FALSE,"Commerciale"}</definedName>
    <definedName name="wm" hidden="1">{#N/A,#N/A,FALSE,"SINTESI GESTIONALE";#N/A,#N/A,FALSE,"all.1 - LAVORO";#N/A,#N/A,FALSE,"all. 2 - SPESE AMM.TIVE";#N/A,#N/A,FALSE," SINTESI CIVILISTICO";#N/A,#N/A,FALSE,"Commerciale"}</definedName>
    <definedName name="wpewpwpwep" hidden="1">{#N/A,#N/A,FALSE,"SINTESI GESTIONALE";#N/A,#N/A,FALSE,"all.1 - LAVORO";#N/A,#N/A,FALSE,"all. 2 - SPESE AMM.TIVE";#N/A,#N/A,FALSE," SINTESI CIVILISTICO";#N/A,#N/A,FALSE,"Commerciale"}</definedName>
    <definedName name="wrn.AG_riepilogo." hidden="1">{"AG_Rete",#N/A,FALSE,"Area Rete";"AG_intergruppo",#N/A,FALSE,"Area Intergruppo";"AG_filiali",#N/A,FALSE,"Area Filiali";"AG_finanza",#N/A,FALSE,"Area Finanza";"AG_struttura",#N/A,FALSE,"Area Struttura"}</definedName>
    <definedName name="wrn.FASIVALUTA_PREC." hidden="1">{"FASE1_PREC",#N/A,FALSE;"FASE2_PREC",#N/A,FALSE;"FASE3_PREC",#N/A,FALSE;"FASE4_PREC",#N/A,FALSE;"RIEPILOGOFASI_PREC",#N/A,FALSE}</definedName>
    <definedName name="wrn.obiett99." hidden="1">{#N/A,#N/A,FALSE,"SINTESI GESTIONALE";#N/A,#N/A,FALSE,"all.1 - LAVORO";#N/A,#N/A,FALSE,"all. 2 - SPESE AMM.TIVE";#N/A,#N/A,FALSE," SINTESI CIVILISTICO";#N/A,#N/A,FALSE,"Commerciale"}</definedName>
    <definedName name="wrn.PENDENTI." hidden="1">{#N/A,#N/A,FALSE,"RIEPILOGO PENDENTI";#N/A,#N/A,FALSE,"CONTABILIZ. PENDENTI RAMO 87";#N/A,#N/A,FALSE,"CONTABILIZ. PENDENTI";#N/A,#N/A,FALSE,"PENDENTI RAMO 81";#N/A,#N/A,FALSE,"PENDENTI RAMO 89";#N/A,#N/A,FALSE,"PENDENTI RAMO 90";#N/A,#N/A,FALSE,"PENDENTI RAMO 91";#N/A,#N/A,FALSE,"PENDENTI RAMO 95"}</definedName>
    <definedName name="wrn.report._.Sanpaolo.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wrn.Stampa._.bilancio." hidden="1">{#N/A,#N/A,FALSE,"Indice";#N/A,#N/A,FALSE,"Management";#N/A,#N/A,FALSE,"Highlights";#N/A,#N/A,FALSE,"Stato_Patrimoniale_97";#N/A,#N/A,FALSE,"Conto_Economico_97";#N/A,#N/A,FALSE,"Patrimonio_netto";#N/A,#N/A,FALSE,"SP_Compar_96_97";#N/A,#N/A,FALSE,"CE_Compar_96_97";#N/A,#N/A,FALSE,"Sezione_1_I_Crediti";#N/A,#N/A,FALSE,"Sezione_2_I_Titoli";#N/A,#N/A,FALSE,"Sezione_3_Le_Partecipazioni";#N/A,#N/A,FALSE,"Le_Partecipazioni_2";#N/A,#N/A,FALSE,"Sezione_4_Imm_mater_immat";#N/A,#N/A,FALSE,"Sezione_5_Altre_attività";#N/A,#N/A,FALSE,"Sezione_6_I_Debiti";#N/A,#N/A,FALSE,"Sezione_7_I_Fondi";#N/A,#N/A,FALSE,"Sezione_8_Capitale_Riserve ";#N/A,#N/A,FALSE,"Sezione_9_Altre_ passività";#N/A,#N/A,FALSE,"Sezione_10_Garanzie_impegni";#N/A,#N/A,FALSE,"Sezione_11_Concentrazione";#N/A,#N/A,FALSE,"Sezione_11_Concentrazione_2";#N/A,#N/A,FALSE,"Sezione_12_Gest_terzi";#N/A,#N/A,FALSE,"Sezione_1_Interessi";#N/A,#N/A,FALSE,"Sezione_2_Le_commissioni";#N/A,#N/A,FALSE,"Sezione_3_Op_Fin";#N/A,#N/A,FALSE,"Sezione_4_Spese_amministr";#N/A,#N/A,FALSE,"Sezione 5 - Rett_Ripr_Accant";#N/A,#N/A,FALSE,"Sezione 6 - Altre voci CE";#N/A,#N/A,FALSE,"Sezione 7 - Altre info CE";#N/A,#N/A,FALSE,"Obbligazioni";#N/A,#N/A,FALSE,"Sezione 1 - Amministratori_Sind";#N/A,#N/A,FALSE,"Elenco partecipazioni";#N/A,#N/A,FALSE,"Frontespizi";#N/A,#N/A,FALSE,"Lead_inst"}</definedName>
    <definedName name="wrn.tavole_supporto." hidden="1">{"Cop_tav_supp",#N/A,FALSE,"Copertine";"pag1e2_s",#N/A,FALSE,"Indici";"pag3_6_s",#N/A,FALSE,"P.F.";"pag7e8_s",#N/A,FALSE,"Fondi";"pag9_s",#N/A,FALSE,"Fondi";"pag10_12_s",#N/A,FALSE,"Commissioni rete";"pag13e14_s",#N/A,FALSE,"Titoli";"pag15_s",#N/A,FALSE,"C.C. e P.E.";"pag16_20_s",#N/A,FALSE,"C.E_BF";"pag21_s",#N/A,FALSE,"C.E_BF";"pag22_s",#N/A,FALSE,"C.E_BF"}</definedName>
    <definedName name="wrn.testo." hidden="1">{"Cop_testo",#N/A,FALSE,"Copertine";"testo_pag1_4",#N/A,FALSE,"Testo";"pag5",#N/A,FALSE,"P.F.";"pag6.7",#N/A,FALSE,"Ipotesi generali";"testo_pag8_9",#N/A,FALSE,"Testo";"pag10",#N/A,FALSE,"Flussi e stock";"testo_pag_11",#N/A,FALSE,"Testo";"pag12.14",#N/A,FALSE,"Fondi";"testo_pag_15",#N/A,FALSE,"Testo";"pag16_17",#N/A,FALSE,"Fondi";"pag18",#N/A,FALSE,"Fondi";"testo_pag_19",#N/A,FALSE,"Testo";"pag20",#N/A,FALSE,"Commissioni rete";"testo_pag_21",#N/A,FALSE,"Testo";"pag22",#N/A,FALSE,"NVV";"testo_pag_23",#N/A,FALSE,"Testo";"pag24",#N/A,FALSE,"Costi operativi";"testo_pag_25",#N/A,FALSE,"Testo";"pag26",#N/A,FALSE,"C.E_BF";"pag27",#N/A,FALSE,"C.E_BF";"testo_pag_28_29",#N/A,FALSE,"Testo";"pag30_36",#N/A,FALSE,"C.E_Soc_prod";"testo_pag37_42",#N/A,FALSE,"Testo"}</definedName>
    <definedName name="wrrrmm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  <definedName name="wrtgbb" hidden="1">{"'RamoVita-mo'!$B$1:$J$85"}</definedName>
    <definedName name="wvu.CE_BF_AG." hidden="1">{TRUE,TRUE,-1.25,-15.5,484.5,276.75,FALSE,FALSE,TRUE,TRUE,0,1,#N/A,55,#N/A,6.54430379746835,17.0952380952381,1,FALSE,FALSE,3,TRUE,1,FALSE,100,"Swvu.CE_BF_AG.","ACwvu.CE_BF_AG.",1,FALSE,FALSE,0.196850393700787,0.196850393700787,0.78740157480315,0.196850393700787,2,"","",TRUE,TRUE,FALSE,FALSE,1,#N/A,1,1,"=R2C2:R66C22",FALSE,"Rwvu.CE_BF_AG.","Cwvu.CE_BF_AG.",FALSE,FALSE,FALSE,9,65532,65532,FALSE,FALSE,TRUE,TRUE,TRUE}</definedName>
    <definedName name="wvu.CE_BF_MGD." hidden="1">{TRUE,TRUE,-1.25,-15.5,484.5,276.75,FALSE,FALSE,TRUE,TRUE,0,1,#N/A,62,#N/A,6.54430379746835,15.7272727272727,1,FALSE,FALSE,3,TRUE,1,FALSE,100,"Swvu.CE_BF_MGD.","ACwvu.CE_BF_MGD.",1,FALSE,FALSE,0.196850393700787,0.196850393700787,0.78740157480315,0.196850393700787,2,"","",TRUE,TRUE,FALSE,FALSE,1,#N/A,1,1,"=R70C2:R132C22",FALSE,"Rwvu.CE_BF_MGD.","Cwvu.CE_BF_MGD.",FALSE,FALSE,FALSE,9,65532,65532,FALSE,FALSE,TRUE,TRUE,TRUE}</definedName>
    <definedName name="wvu.CE_BF_RICLASS." hidden="1">{TRUE,TRUE,-1.25,-15.5,484.5,253.5,FALSE,FALSE,TRUE,TRUE,0,2,#N/A,5,#N/A,10.5454545454545,21.4615384615385,1,FALSE,FALSE,3,TRUE,1,FALSE,75,"Swvu.CE_BF_RICLASS.","ACwvu.CE_BF_RICLASS.",#N/A,FALSE,FALSE,0.78740157480315,0.78740157480315,0.6,0.66,2,"","&amp;LPianificazione&amp;R&amp;D",TRUE,FALSE,FALSE,FALSE,1,#N/A,1,1,"=R5C2:R62C16",FALSE,#N/A,#N/A,FALSE,FALSE,FALSE,9,65532,300,FALSE,FALSE,TRUE,TRUE,TRUE}</definedName>
    <definedName name="wvu.CE_BF_UTILE." hidden="1">{TRUE,TRUE,-1.25,-15.5,484.5,276.75,FALSE,FALSE,TRUE,TRUE,0,1,#N/A,69,#N/A,6.74683544303798,14.4285714285714,1,FALSE,FALSE,3,TRUE,1,FALSE,100,"Swvu.CE_BF_UTILE.","ACwvu.CE_BF_UTILE.",1,FALSE,FALSE,0.196850393700787,0.196850393700787,0.78740157480315,0.196850393700787,2,"","",TRUE,FALSE,FALSE,FALSE,1,53,#N/A,#N/A,"=R134C2:R187C22","=R70:R71","Rwvu.CE_BF_UTILE.","Cwvu.CE_BF_UTILE.",FALSE,FALSE,TRUE,9,65532,65532,FALSE,FALSE,TRUE,TRUE,TRUE}</definedName>
    <definedName name="wvu.Extracommissioni." hidden="1">{TRUE,TRUE,-1.25,-15.5,484.5,253.5,FALSE,TRUE,TRUE,TRUE,0,6,#N/A,62,#N/A,9.10416666666667,21.6923076923077,1,FALSE,FALSE,3,TRUE,1,FALSE,75,"Swvu.Extracommissioni.","ACwvu.Extracommissioni.",#N/A,FALSE,FALSE,0.78740157480315,0.78740157480315,0.984251968503937,0.984251968503937,1,"","&amp;LPianificazione&amp;R&amp;D",TRUE,FALSE,FALSE,FALSE,1,#N/A,1,1,"=R72C12:R98C18",FALSE,#N/A,#N/A,FALSE,FALSE,FALSE,9,65532,65532,FALSE,FALSE,TRUE,TRUE,TRUE}</definedName>
    <definedName name="wvu.FASE1_BUDGET." hidden="1">{TRUE,TRUE,-1.25,-15.5,484.5,276.75,FALSE,TRUE,TRUE,TRUE,0,38,#N/A,61,#N/A,12.4473684210526,31.7272727272727,1,FALSE,FALSE,3,TRUE,1,FALSE,50,"Swvu.FASE1_BUDGET.","ACwvu.FASE1_BUDGET.",#N/A,FALSE,FALSE,0.196850393700787,0.196850393700787,0.393700787401575,0.196850393700787,2,"","",TRUE,TRUE,FALSE,FALSE,1,75,#N/A,#N/A,"=R78C44:R99C57","=R72:R76","Rwvu.FASE1_BUDGET.","Cwvu.FASE1_BUDGET.",FALSE,FALSE,TRUE,9,65532,65532,FALSE,FALSE,TRUE,TRUE,TRUE}</definedName>
    <definedName name="wvu.FASE1_PREC." hidden="1">{TRUE,TRUE,-2,-16.25,484.5,288,FALSE,TRUE,TRUE,TRUE,0,25,#N/A,75,#N/A,19.6470588235294,29.8888888888889,1,FALSE,FALSE,3,TRUE,1,FALSE,50,"Swvu.FASE1_PREC.","ACwvu.FASE1_PREC.",1,FALSE,FALSE,0.196850393700787,0.196850393700787,0.393700787401575,0.196850393700787,2,"","",TRUE,TRUE,FALSE,FALSE,1,#N/A,1,1,"=R78C31:R98C59","=R74:R77",#N/A,#N/A,FALSE,FALSE}</definedName>
    <definedName name="wvu.FASE1_REVBUDGET." hidden="1">{TRUE,TRUE,-1.25,-15.5,484.5,276.75,FALSE,TRUE,TRUE,TRUE,0,63,#N/A,76,#N/A,13.9459459459459,29.0909090909091,1,FALSE,FALSE,3,TRUE,1,FALSE,50,"Swvu.FASE1_REVBUDGET.","ACwvu.FASE1_REVBUDGET.",1,FALSE,FALSE,0.393700787401575,0.393700787401575,0,0,2,"","",TRUE,TRUE,FALSE,FALSE,1,#N/A,1,1,"=R78C65:R99C78","=R72:R76","Rwvu.FASE1_REVBUDGET.","Cwvu.FASE1_REVBUDGET.",FALSE,FALSE,FALSE,9,65532,65532,FALSE,FALSE,TRUE,TRUE,TRUE}</definedName>
    <definedName name="wvu.FASE2_BUDGET." hidden="1">{TRUE,TRUE,-1.25,-15.5,484.5,276.75,FALSE,TRUE,TRUE,TRUE,0,38,#N/A,88,#N/A,12.4473684210526,29.7272727272727,1,FALSE,FALSE,3,TRUE,1,FALSE,50,"Swvu.FASE2_BUDGET.","ACwvu.FASE2_BUDGET.",#N/A,FALSE,FALSE,0.196850393700787,0.196850393700787,0.393700787401575,0.196850393700787,2,"","",TRUE,TRUE,FALSE,FALSE,1,75,#N/A,#N/A,"=R102C44:R120C57","=R72:R76","Rwvu.FASE2_BUDGET.","Cwvu.FASE2_BUDGET.",FALSE,FALSE,TRUE,9,65532,65532,FALSE,FALSE,TRUE,TRUE,TRUE}</definedName>
    <definedName name="wvu.FASE2_PREC." hidden="1">{TRUE,TRUE,-2,-16.25,484.5,288,FALSE,TRUE,TRUE,TRUE,0,25,#N/A,94,#N/A,19.6470588235294,29.8181818181818,1,FALSE,FALSE,3,TRUE,1,FALSE,50,"Swvu.FASE2_PREC.","ACwvu.FASE2_PREC.",1,FALSE,FALSE,0.196850393700787,0.196850393700787,0.393700787401575,0.196850393700787,2,"","",TRUE,TRUE,FALSE,FALSE,1,#N/A,1,1,"=R99C31:R116C59","=R74:R77",#N/A,#N/A,FALSE,FALSE}</definedName>
    <definedName name="wvu.FASE2_REVBUDGET." hidden="1">{TRUE,TRUE,-1.25,-15.5,484.5,276.75,FALSE,TRUE,TRUE,TRUE,0,58,#N/A,89,#N/A,15.2,29.6666666666667,1,FALSE,FALSE,3,TRUE,1,FALSE,50,"Swvu.FASE2_REVBUDGET.","ACwvu.FASE2_REVBUDGET.",1,FALSE,FALSE,0.393700787401575,0.393700787401575,0,0,2,"","",TRUE,TRUE,FALSE,FALSE,1,#N/A,1,1,"=R103C65:R121C78","=R72:R76","Rwvu.FASE2_REVBUDGET.","Cwvu.FASE2_REVBUDGET.",FALSE,FALSE,FALSE,9,65532,65532,FALSE,FALSE,TRUE,TRUE,TRUE}</definedName>
    <definedName name="wvu.FASE3_BUDGET." hidden="1">{TRUE,TRUE,-1.25,-15.5,484.5,276.75,FALSE,TRUE,TRUE,TRUE,0,38,#N/A,117,#N/A,12.4473684210526,30.4444444444444,1,FALSE,FALSE,3,TRUE,1,FALSE,50,"Swvu.FASE3_BUDGET.","ACwvu.FASE3_BUDGET.",#N/A,FALSE,FALSE,0.196850393700787,0.196850393700787,0.393700787401575,0.196850393700787,2,"","",TRUE,TRUE,FALSE,FALSE,1,75,#N/A,#N/A,"=R122C44:R140C57","=R72:R76","Rwvu.FASE3_BUDGET.","Cwvu.FASE3_BUDGET.",FALSE,FALSE,TRUE,9,65532,65532,FALSE,FALSE,TRUE,TRUE,TRUE}</definedName>
    <definedName name="wvu.FASE3_PREC." hidden="1">{TRUE,TRUE,-2,-16.25,486,289.5,FALSE,TRUE,TRUE,TRUE,0,38,#N/A,103,#N/A,23.9318181818182,29.8181818181818,1,FALSE,FALSE,3,TRUE,1,FALSE,50,"Swvu.FASE3_PREC.","ACwvu.FASE3_PREC.",1,FALSE,FALSE,0.196850393700787,0.196850393700787,0.393700787401575,0.196850393700787,2,"","",TRUE,TRUE,FALSE,FALSE,1,#N/A,1,1,"=R99C31:R116C59","=R74:R77",#N/A,#N/A,FALSE,FALSE}</definedName>
    <definedName name="wvu.FASE3_REVBUDGET." hidden="1">{TRUE,TRUE,-1.25,-15.5,484.5,276.75,FALSE,TRUE,TRUE,TRUE,0,62,#N/A,122,#N/A,14.1891891891892,29.5454545454545,1,FALSE,FALSE,3,TRUE,1,FALSE,50,"Swvu.FASE3_REVBUDGET.","ACwvu.FASE3_REVBUDGET.",1,FALSE,FALSE,0.393700787401575,0.393700787401575,0,0,2,"","",TRUE,TRUE,FALSE,FALSE,1,78,#N/A,#N/A,"=R124C65:R139C75","=R72:R76","Rwvu.FASE3_REVBUDGET.","Cwvu.FASE3_REVBUDGET.",FALSE,FALSE,TRUE,9,65532,65532,FALSE,FALSE,TRUE,TRUE,TRUE}</definedName>
    <definedName name="wvu.FASE4_BUDGET." hidden="1">{TRUE,TRUE,-1.25,-15.5,484.5,276.75,FALSE,TRUE,TRUE,TRUE,0,38,#N/A,126,#N/A,12.4473684210526,31.7272727272727,1,FALSE,FALSE,3,TRUE,1,FALSE,50,"Swvu.FASE4_BUDGET.","ACwvu.FASE4_BUDGET.",#N/A,FALSE,FALSE,0.196850393700787,0.196850393700787,0.393700787401575,0.196850393700787,2,"","",TRUE,TRUE,FALSE,FALSE,1,75,#N/A,#N/A,"=R141C44:R168C57","=R72:R76","Rwvu.FASE4_BUDGET.","Cwvu.FASE4_BUDGET.",FALSE,FALSE,TRUE,9,65532,65532,FALSE,FALSE,TRUE,TRUE,TRUE}</definedName>
    <definedName name="wvu.FASE4_PREC." hidden="1">{TRUE,TRUE,-2,-16.25,486,289.5,FALSE,TRUE,TRUE,TRUE,0,35,#N/A,137,#N/A,25.5909090909091,30.0909090909091,1,FALSE,FALSE,3,TRUE,1,FALSE,50,"Swvu.FASE4_PREC.","ACwvu.FASE4_PREC.",1,FALSE,FALSE,0.196850393700787,0.196850393700787,0.393700787401575,0.196850393700787,2,"","",TRUE,TRUE,FALSE,FALSE,1,#N/A,1,1,"=R99C31:R116C59","=R74:R77",#N/A,#N/A,FALSE,FALSE}</definedName>
    <definedName name="wvu.FASE4_REVBUDGET." hidden="1">{TRUE,TRUE,-1.25,-15.5,484.5,276.75,FALSE,TRUE,TRUE,TRUE,0,63,#N/A,128,#N/A,13.9459459459459,29.5454545454545,1,FALSE,FALSE,3,TRUE,1,FALSE,50,"Swvu.FASE4_REVBUDGET.","ACwvu.FASE4_REVBUDGET.",1,FALSE,FALSE,0.393700787401575,0.393700787401575,0,0,2,"","",TRUE,TRUE,FALSE,FALSE,1,78,#N/A,#N/A,"=R143C65:R167C74","=R72:R76","Rwvu.FASE4_REVBUDGET.","Cwvu.FASE4_REVBUDGET.",FALSE,FALSE,TRUE,9,65532,65532,FALSE,FALSE,TRUE,TRUE,TRUE}</definedName>
    <definedName name="wvu.FASI_RIEPILOGO_BUDGET." hidden="1">{TRUE,TRUE,-1.25,-15.5,484.5,276.75,FALSE,TRUE,TRUE,TRUE,0,38,#N/A,157,#N/A,12.4473684210526,30.8888888888889,1,FALSE,FALSE,3,TRUE,1,FALSE,50,"Swvu.FASI_RIEPILOGO_BUDGET.","ACwvu.FASI_RIEPILOGO_BUDGET.",#N/A,FALSE,FALSE,0.196850393700787,0.196850393700787,0.393700787401575,0.196850393700787,2,"","",TRUE,TRUE,FALSE,FALSE,1,75,#N/A,#N/A,"=R172C44:R184C57","=R72:R76","Rwvu.FASI_RIEPILOGO_BUDGET.","Cwvu.FASI_RIEPILOGO_BUDGET.",FALSE,FALSE,TRUE,9,65532,65532,FALSE,FALSE,TRUE,TRUE,TRUE}</definedName>
    <definedName name="wvu.FASI_RIEPILOGO_PREC." hidden="1">{TRUE,TRUE,-2,-16.25,486,289.5,FALSE,TRUE,TRUE,TRUE,0,38,#N/A,154,#N/A,23.9318181818182,30.1818181818182,1,FALSE,FALSE,3,TRUE,1,FALSE,50,"Swvu.FASI_RIEPILOGO_PREC.","ACwvu.FASI_RIEPILOGO_PREC.",1,FALSE,FALSE,0.196850393700787,0.196850393700787,0.393700787401575,0.196850393700787,2,"","",TRUE,TRUE,FALSE,FALSE,1,#N/A,1,1,"=R99C31:R116C59","=R74:R77",#N/A,#N/A,FALSE,FALSE}</definedName>
    <definedName name="wvu.FASI_RIEPILOGO_REVBUDGET." hidden="1">{TRUE,TRUE,-1.25,-15.5,484.5,276.75,FALSE,TRUE,TRUE,TRUE,0,63,#N/A,163,#N/A,13.9459459459459,28.7272727272727,1,FALSE,FALSE,3,TRUE,1,FALSE,50,"Swvu.FASI_RIEPILOGO_REVBUDGET.","ACwvu.FASI_RIEPILOGO_REVBUDGET.",1,FALSE,FALSE,0.393700787401575,0.393700787401575,0,0,2,"","",TRUE,TRUE,FALSE,FALSE,1,120,#N/A,#N/A,"=R174C65:R185C70","=R72:R76","Rwvu.FASI_RIEPILOGO_REVBUDGET.","Cwvu.FASI_RIEPILOGO_REVBUDGET.",FALSE,FALSE,TRUE,9,65532,65532,FALSE,FALSE,TRUE,TRUE,TRUE}</definedName>
    <definedName name="wvu.IMPOSTE_BF." hidden="1">{TRUE,TRUE,-1.25,-15.5,484.5,276.75,FALSE,FALSE,TRUE,TRUE,0,3,#N/A,194,#N/A,5.35443037974684,14.952380952381,1,FALSE,FALSE,3,TRUE,1,FALSE,100,"Swvu.IMPOSTE_BF.","ACwvu.IMPOSTE_BF.",1,FALSE,FALSE,0.196850393700787,0.196850393700787,0.78740157480315,0.196850393700787,2,"","",TRUE,FALSE,FALSE,FALSE,1,#N/A,1,1,"=R194C3:R231C7",FALSE,"Rwvu.IMPOSTE_BF.","Cwvu.IMPOSTE_BF.",FALSE,FALSE,FALSE,9,65532,300,FALSE,FALSE,TRUE,TRUE,TRUE}</definedName>
    <definedName name="wvu.PREC_CE_BF_AREE_GEST." hidden="1">{TRUE,TRUE,-2,-16.25,486,289.5,FALSE,TRUE,TRUE,TRUE,0,5,5,54,#N/A,2.8,30.0909090909091,2,TRUE,FALSE,3,TRUE,1,FALSE,50,"Swvu.PREC_CE_BF_AREE_GEST.","ACwvu.PREC_CE_BF_AREE_GEST.",1,FALSE,FALSE,0.196850393700787,0.196850393700787,0.393700787401575,0.196850393700787,1,"","",TRUE,TRUE,FALSE,FALSE,1,#N/A,1,1,"=R71C2:R145C11","=R1:R8",#N/A,#N/A,FALSE,FALSE}</definedName>
    <definedName name="wvu.PREC_CE_BF_MGD." hidden="1">{TRUE,TRUE,-2,-16.25,486,289.5,FALSE,TRUE,TRUE,TRUE,0,2,5,125,#N/A,2.56497175141243,30,2,TRUE,FALSE,3,TRUE,1,FALSE,50,"Swvu.PREC_CE_BF_MGD.","ACwvu.PREC_CE_BF_MGD.",1,FALSE,FALSE,0.196850393700787,0.196850393700787,0.393700787401575,0.196850393700787,1,"","",TRUE,TRUE,FALSE,FALSE,1,#N/A,1,1,"=R71C2:R145C11","=R1:R8",#N/A,#N/A,FALSE,FALSE}</definedName>
    <definedName name="wvu.PREC_CE_BF_UTILE." hidden="1">{TRUE,TRUE,-2,-16.25,486,289.5,FALSE,TRUE,TRUE,TRUE,0,2,5,182,#N/A,2.57627118644068,30.1818181818182,2,TRUE,FALSE,3,TRUE,1,FALSE,50,"Swvu.PREC_CE_BF_UTILE.","ACwvu.PREC_CE_BF_UTILE.",1,FALSE,FALSE,0.196850393700787,0.196850393700787,0.393700787401575,0.196850393700787,1,"","",TRUE,TRUE,FALSE,FALSE,1,#N/A,1,1,"=R71C2:R145C11","=R1:R8",#N/A,#N/A,FALSE,FALSE}</definedName>
    <definedName name="wvu.RACC_IMP." hidden="1">{TRUE,TRUE,-1.25,-15.5,484.5,276.75,FALSE,FALSE,TRUE,TRUE,0,32,#N/A,1,#N/A,4.80412371134021,17.3529411764706,1,FALSE,FALSE,3,TRUE,1,FALSE,100,"Swvu.RACC_IMP.","ACwvu.RACC_IMP.",1,FALSE,FALSE,0.196850393700787,0.196850393700787,0.78740157480315,0.196850393700787,2,"","",TRUE,TRUE,FALSE,FALSE,1,#N/A,1,1,"=R1C33:R49C40",FALSE,"Rwvu.RACC_IMP.","Cwvu.RACC_IMP.",FALSE,FALSE,FALSE,9,65532,65532,FALSE,FALSE,TRUE,TRUE,TRUE}</definedName>
    <definedName name="wvu.REV_DIV." hidden="1">{TRUE,TRUE,-1.25,-15.5,484.5,276.75,FALSE,FALSE,TRUE,TRUE,0,2,#N/A,236,#N/A,5.73417721518987,16.4117647058824,1,FALSE,FALSE,3,TRUE,1,FALSE,100,"Swvu.REV_DIV.","ACwvu.REV_DIV.",1,FALSE,FALSE,0.393700787401575,0.393700787401575,0,0,2,"","",TRUE,TRUE,FALSE,FALSE,1,#N/A,1,1,"=R236C2:R263C8",FALSE,"Rwvu.REV_DIV.","Cwvu.REV_DIV.",FALSE,FALSE,FALSE,9,65532,300,FALSE,FALSE,TRUE,TRUE,TRUE}</definedName>
    <definedName name="wvu.RIEPILOGOFASI_BUDGET." hidden="1">{TRUE,TRUE,-1.25,-15.5,484.5,279.75,FALSE,TRUE,TRUE,TRUE,0,78,#N/A,157,#N/A,20.1818181818182,29.1818181818182,1,FALSE,FALSE,3,TRUE,1,FALSE,50,"Swvu.RIEPILOGOFASI_BUDGET.","ACwvu.RIEPILOGOFASI_BUDGET.",1,FALSE,FALSE,0.196850393700787,0.196850393700787,0.393700787401575,0.196850393700787,2,"","",TRUE,TRUE,FALSE,FALSE,1,#N/A,1,1,"=R135C66:R161C94","=R74:R77",#N/A,#N/A,FALSE,FALSE}</definedName>
    <definedName name="wvu.Servizi_bancari." hidden="1">{TRUE,TRUE,-1.25,-15.5,484.5,253.5,FALSE,TRUE,TRUE,TRUE,0,20,#N/A,96,#N/A,8.95833333333333,21.6923076923077,1,FALSE,FALSE,3,TRUE,1,FALSE,75,"Swvu.Servizi_bancari.","ACwvu.Servizi_bancari.",#N/A,FALSE,FALSE,0.78740157480315,0.78740157480315,0.984251968503937,0.984251968503937,1,"","&amp;LPianificazione&amp;R&amp;D",TRUE,FALSE,FALSE,FALSE,1,#N/A,1,1,"=R106C21:R152C27",FALSE,#N/A,#N/A,FALSE,FALSE,FALSE,9,65532,65532,FALSE,FALSE,TRUE,TRUE,TRUE}</definedName>
    <definedName name="wvu.Servizi_finanziari." hidden="1">{TRUE,TRUE,-1.25,-15.5,484.5,253.5,FALSE,TRUE,TRUE,TRUE,0,1,#N/A,7,#N/A,10.2916666666667,21.5384615384615,1,FALSE,FALSE,3,TRUE,1,FALSE,75,"Swvu.Servizi_finanziari.","ACwvu.Servizi_finanziari.",#N/A,FALSE,FALSE,0.78740157480315,0.78740157480315,0.984251968503937,0.984251968503937,1,"","&amp;LPianificazione&amp;R&amp;D",TRUE,FALSE,FALSE,FALSE,1,#N/A,1,1,"=R7C3:R67C9",FALSE,#N/A,#N/A,FALSE,FALSE,FALSE,9,65532,65532,FALSE,FALSE,TRUE,TRUE,TRUE}</definedName>
    <definedName name="www" hidden="1">{#N/A,#N/A,FALSE,"SINTESI GESTIONALE";#N/A,#N/A,FALSE,"all.1 - LAVORO";#N/A,#N/A,FALSE,"all. 2 - SPESE AMM.TIVE";#N/A,#N/A,FALSE," SINTESI CIVILISTICO";#N/A,#N/A,FALSE,"Commerciale"}</definedName>
    <definedName name="x">#REF!</definedName>
    <definedName name="xlAssignment">#REF!</definedName>
    <definedName name="xlFile">#REF!</definedName>
    <definedName name="xxc" hidden="1">{#N/A,#N/A,FALSE,"SINTESI GESTIONALE";#N/A,#N/A,FALSE,"all.1 - LAVORO";#N/A,#N/A,FALSE,"all. 2 - SPESE AMM.TIVE";#N/A,#N/A,FALSE," SINTESI CIVILISTICO";#N/A,#N/A,FALSE,"Commerciale"}</definedName>
    <definedName name="xxxx" hidden="1">{#N/A,#N/A,FALSE,"SINTESI GESTIONALE";#N/A,#N/A,FALSE,"all.1 - LAVORO";#N/A,#N/A,FALSE,"all. 2 - SPESE AMM.TIVE";#N/A,#N/A,FALSE," SINTESI CIVILISTICO";#N/A,#N/A,FALSE,"Commerciale"}</definedName>
    <definedName name="yoy" hidden="1">{#N/A,#N/A,FALSE,"SINTESI GESTIONALE";#N/A,#N/A,FALSE,"all.1 - LAVORO";#N/A,#N/A,FALSE,"all. 2 - SPESE AMM.TIVE";#N/A,#N/A,FALSE," SINTESI CIVILISTICO";#N/A,#N/A,FALSE,"Commerciale"}</definedName>
    <definedName name="yt" hidden="1">{#N/A,#N/A,FALSE,"SINTESI GESTIONALE";#N/A,#N/A,FALSE,"all.1 - LAVORO";#N/A,#N/A,FALSE,"all. 2 - SPESE AMM.TIVE";#N/A,#N/A,FALSE," SINTESI CIVILISTICO";#N/A,#N/A,FALSE,"Commerciale"}</definedName>
    <definedName name="ytyhhgh" hidden="1">{"'RamoVita-mo'!$B$1:$J$85"}</definedName>
    <definedName name="yu" hidden="1">{"'RIEPILOGO'!$A$1:$E$83"}</definedName>
    <definedName name="yy" hidden="1">{"'RIEPILOGO'!$A$1:$E$83"}</definedName>
    <definedName name="yyuu" hidden="1">{"'RIEPILOGO'!$A$1:$E$83"}</definedName>
    <definedName name="yyy1" hidden="1">{"'RIEPILOGO'!$A$1:$E$83"}</definedName>
    <definedName name="yyyyy" hidden="1">{"'RIEPILOGO'!$A$1:$E$83"}</definedName>
    <definedName name="yyyyyyyyyyyy" hidden="1">{"'RIEPILOGO'!$A$1:$E$83"}</definedName>
    <definedName name="zzzzzzzzzzzzzzzzzzzzzzzzzzzz" hidden="1">{#N/A,#N/A,TRUE,"Report Sanpaolo Vita";#N/A,#N/A,TRUE,"investimenti finanziari";#N/A,#N/A,TRUE,"Report SPV";#N/A,#N/A,TRUE,"Report Fondi";#N/A,#N/A,TRUE,"Totale Sanpaolo Vita";#N/A,#N/A,TRUE,"Fondo VIVAPIU (deposito n° 61)";#N/A,#N/A,TRUE,"Fondo 2 P (deposito n° 12)";#N/A,#N/A,TRUE,"CAPITALPIU' - PIU'3 (dep n° 64)";#N/A,#N/A,TRUE,"BLUE-PROFITS (dep n° 67)";#N/A,#N/A,TRUE,"Gestionale LIBERI (dep n° 63)";#N/A,#N/A,TRUE,"rendimenti";#N/A,#N/A,TRUE,"Report reddito";#N/A,#N/A,TRUE,"Report rilevazione rendimenti";#N/A,#N/A,TRUE,"Report Rendimenti al mese";#N/A,#N/A,TRUE,"Report rivalutazione Fondi";#N/A,#N/A,TRUE,"Rivalut_capitalpiù";#N/A,#N/A,TRUE,"Rivalut_vivapiù";#N/A,#N/A,TRUE,"Report rendiconti annui";#N/A,#N/A,TRUE,"tesoreria";#N/A,#N/A,TRUE,"Report Cash_flow";#N/A,#N/A,TRUE,"Cash_flow al mese";#N/A,#N/A,TRUE,"Report previsioni Cash_flow"}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8" i="7" l="1"/>
  <c r="G7" i="7"/>
  <c r="B13" i="7"/>
  <c r="B12" i="7"/>
  <c r="M3" i="7"/>
  <c r="M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M510" i="7"/>
  <c r="M511" i="7"/>
  <c r="M512" i="7"/>
  <c r="M513" i="7"/>
  <c r="M514" i="7"/>
  <c r="M515" i="7"/>
  <c r="M516" i="7"/>
  <c r="M517" i="7"/>
  <c r="M518" i="7"/>
  <c r="M519" i="7"/>
  <c r="M520" i="7"/>
  <c r="M521" i="7"/>
  <c r="M522" i="7"/>
  <c r="M523" i="7"/>
  <c r="M524" i="7"/>
  <c r="M525" i="7"/>
  <c r="M526" i="7"/>
  <c r="M527" i="7"/>
  <c r="M528" i="7"/>
  <c r="M529" i="7"/>
  <c r="M530" i="7"/>
  <c r="M531" i="7"/>
  <c r="M532" i="7"/>
  <c r="M533" i="7"/>
  <c r="M534" i="7"/>
  <c r="M535" i="7"/>
  <c r="M536" i="7"/>
  <c r="M537" i="7"/>
  <c r="M538" i="7"/>
  <c r="M539" i="7"/>
  <c r="M540" i="7"/>
  <c r="M541" i="7"/>
  <c r="M542" i="7"/>
  <c r="M543" i="7"/>
  <c r="M544" i="7"/>
  <c r="M545" i="7"/>
  <c r="M546" i="7"/>
  <c r="M547" i="7"/>
  <c r="M548" i="7"/>
  <c r="M549" i="7"/>
  <c r="M550" i="7"/>
  <c r="M551" i="7"/>
  <c r="M552" i="7"/>
  <c r="M553" i="7"/>
  <c r="M554" i="7"/>
  <c r="M555" i="7"/>
  <c r="M556" i="7"/>
  <c r="M557" i="7"/>
  <c r="M558" i="7"/>
  <c r="M559" i="7"/>
  <c r="M560" i="7"/>
  <c r="M561" i="7"/>
  <c r="M562" i="7"/>
  <c r="M563" i="7"/>
  <c r="M564" i="7"/>
  <c r="M565" i="7"/>
  <c r="M566" i="7"/>
  <c r="M567" i="7"/>
  <c r="M568" i="7"/>
  <c r="M569" i="7"/>
  <c r="M570" i="7"/>
  <c r="M571" i="7"/>
  <c r="M572" i="7"/>
  <c r="M573" i="7"/>
  <c r="M574" i="7"/>
  <c r="M575" i="7"/>
  <c r="M576" i="7"/>
  <c r="M577" i="7"/>
  <c r="M578" i="7"/>
  <c r="M579" i="7"/>
  <c r="M580" i="7"/>
  <c r="M581" i="7"/>
  <c r="M582" i="7"/>
  <c r="M583" i="7"/>
  <c r="M584" i="7"/>
  <c r="M585" i="7"/>
  <c r="M586" i="7"/>
  <c r="M587" i="7"/>
  <c r="M588" i="7"/>
  <c r="M589" i="7"/>
  <c r="M590" i="7"/>
  <c r="M591" i="7"/>
  <c r="M592" i="7"/>
  <c r="M593" i="7"/>
  <c r="M594" i="7"/>
  <c r="M595" i="7"/>
  <c r="M596" i="7"/>
  <c r="M597" i="7"/>
  <c r="M598" i="7"/>
  <c r="M599" i="7"/>
  <c r="M600" i="7"/>
  <c r="M601" i="7"/>
  <c r="M602" i="7"/>
  <c r="M603" i="7"/>
  <c r="M604" i="7"/>
  <c r="M605" i="7"/>
  <c r="M606" i="7"/>
  <c r="M607" i="7"/>
  <c r="M608" i="7"/>
  <c r="M609" i="7"/>
  <c r="M610" i="7"/>
  <c r="M611" i="7"/>
  <c r="M612" i="7"/>
  <c r="M613" i="7"/>
  <c r="M614" i="7"/>
  <c r="M615" i="7"/>
  <c r="M616" i="7"/>
  <c r="M617" i="7"/>
  <c r="M618" i="7"/>
  <c r="M619" i="7"/>
  <c r="M620" i="7"/>
  <c r="M621" i="7"/>
  <c r="M622" i="7"/>
  <c r="M623" i="7"/>
  <c r="M624" i="7"/>
  <c r="M625" i="7"/>
  <c r="M626" i="7"/>
  <c r="M627" i="7"/>
  <c r="M628" i="7"/>
  <c r="M629" i="7"/>
  <c r="M630" i="7"/>
  <c r="M631" i="7"/>
  <c r="M632" i="7"/>
  <c r="M633" i="7"/>
  <c r="M634" i="7"/>
  <c r="M635" i="7"/>
  <c r="M636" i="7"/>
  <c r="M637" i="7"/>
  <c r="M638" i="7"/>
  <c r="M639" i="7"/>
  <c r="M640" i="7"/>
  <c r="M641" i="7"/>
  <c r="M642" i="7"/>
  <c r="M643" i="7"/>
  <c r="M644" i="7"/>
  <c r="M645" i="7"/>
  <c r="M646" i="7"/>
  <c r="M647" i="7"/>
  <c r="M648" i="7"/>
  <c r="M649" i="7"/>
  <c r="M650" i="7"/>
  <c r="M651" i="7"/>
  <c r="M652" i="7"/>
  <c r="M653" i="7"/>
  <c r="M654" i="7"/>
  <c r="M655" i="7"/>
  <c r="M656" i="7"/>
  <c r="M657" i="7"/>
  <c r="M658" i="7"/>
  <c r="M659" i="7"/>
  <c r="M660" i="7"/>
  <c r="M661" i="7"/>
  <c r="M662" i="7"/>
  <c r="M663" i="7"/>
  <c r="M664" i="7"/>
  <c r="M665" i="7"/>
  <c r="M666" i="7"/>
  <c r="M667" i="7"/>
  <c r="M668" i="7"/>
  <c r="M669" i="7"/>
  <c r="M670" i="7"/>
  <c r="M671" i="7"/>
  <c r="M672" i="7"/>
  <c r="M673" i="7"/>
  <c r="M674" i="7"/>
  <c r="M675" i="7"/>
  <c r="M676" i="7"/>
  <c r="M677" i="7"/>
  <c r="M678" i="7"/>
  <c r="M679" i="7"/>
  <c r="M680" i="7"/>
  <c r="M681" i="7"/>
  <c r="M682" i="7"/>
  <c r="M683" i="7"/>
  <c r="M684" i="7"/>
  <c r="M685" i="7"/>
  <c r="M686" i="7"/>
  <c r="M687" i="7"/>
  <c r="M688" i="7"/>
  <c r="M689" i="7"/>
  <c r="M690" i="7"/>
  <c r="M691" i="7"/>
  <c r="M692" i="7"/>
  <c r="M693" i="7"/>
  <c r="M694" i="7"/>
  <c r="M695" i="7"/>
  <c r="M696" i="7"/>
  <c r="M697" i="7"/>
  <c r="M698" i="7"/>
  <c r="M699" i="7"/>
  <c r="M700" i="7"/>
  <c r="M701" i="7"/>
  <c r="M702" i="7"/>
  <c r="M703" i="7"/>
  <c r="M704" i="7"/>
  <c r="M705" i="7"/>
  <c r="M706" i="7"/>
  <c r="M707" i="7"/>
  <c r="M708" i="7"/>
  <c r="M709" i="7"/>
  <c r="M710" i="7"/>
  <c r="M711" i="7"/>
  <c r="M712" i="7"/>
  <c r="M713" i="7"/>
  <c r="M714" i="7"/>
  <c r="M715" i="7"/>
  <c r="M716" i="7"/>
  <c r="M717" i="7"/>
  <c r="M718" i="7"/>
  <c r="M719" i="7"/>
  <c r="M720" i="7"/>
  <c r="M721" i="7"/>
  <c r="M722" i="7"/>
  <c r="M723" i="7"/>
  <c r="M724" i="7"/>
  <c r="M725" i="7"/>
  <c r="M726" i="7"/>
  <c r="M727" i="7"/>
  <c r="M728" i="7"/>
  <c r="M729" i="7"/>
  <c r="M730" i="7"/>
  <c r="M731" i="7"/>
  <c r="M732" i="7"/>
  <c r="M733" i="7"/>
  <c r="M734" i="7"/>
  <c r="M735" i="7"/>
  <c r="M736" i="7"/>
  <c r="M737" i="7"/>
  <c r="M738" i="7"/>
  <c r="M739" i="7"/>
  <c r="M740" i="7"/>
  <c r="M741" i="7"/>
  <c r="M742" i="7"/>
  <c r="M743" i="7"/>
  <c r="M744" i="7"/>
  <c r="M745" i="7"/>
  <c r="M746" i="7"/>
  <c r="M747" i="7"/>
  <c r="M748" i="7"/>
  <c r="M749" i="7"/>
  <c r="M750" i="7"/>
  <c r="M751" i="7"/>
  <c r="M752" i="7"/>
  <c r="M753" i="7"/>
  <c r="M754" i="7"/>
  <c r="M755" i="7"/>
  <c r="M756" i="7"/>
  <c r="M757" i="7"/>
  <c r="M758" i="7"/>
  <c r="M759" i="7"/>
  <c r="M760" i="7"/>
  <c r="M761" i="7"/>
  <c r="M762" i="7"/>
  <c r="M763" i="7"/>
  <c r="M764" i="7"/>
  <c r="M765" i="7"/>
  <c r="M766" i="7"/>
  <c r="M767" i="7"/>
  <c r="M768" i="7"/>
  <c r="M769" i="7"/>
  <c r="M770" i="7"/>
  <c r="M771" i="7"/>
  <c r="M772" i="7"/>
  <c r="M773" i="7"/>
  <c r="M774" i="7"/>
  <c r="M775" i="7"/>
  <c r="M776" i="7"/>
  <c r="M777" i="7"/>
  <c r="M778" i="7"/>
  <c r="M779" i="7"/>
  <c r="M780" i="7"/>
  <c r="M781" i="7"/>
  <c r="M782" i="7"/>
  <c r="M783" i="7"/>
  <c r="M784" i="7"/>
  <c r="M785" i="7"/>
  <c r="M786" i="7"/>
  <c r="M787" i="7"/>
  <c r="M788" i="7"/>
  <c r="M789" i="7"/>
  <c r="M790" i="7"/>
  <c r="M791" i="7"/>
  <c r="M792" i="7"/>
  <c r="M793" i="7"/>
  <c r="M794" i="7"/>
  <c r="M795" i="7"/>
  <c r="M796" i="7"/>
  <c r="M797" i="7"/>
  <c r="M798" i="7"/>
  <c r="M799" i="7"/>
  <c r="M800" i="7"/>
  <c r="M801" i="7"/>
  <c r="M802" i="7"/>
  <c r="M803" i="7"/>
  <c r="M804" i="7"/>
  <c r="M805" i="7"/>
  <c r="M806" i="7"/>
  <c r="M807" i="7"/>
  <c r="M808" i="7"/>
  <c r="M809" i="7"/>
  <c r="M810" i="7"/>
  <c r="M811" i="7"/>
  <c r="M812" i="7"/>
  <c r="M813" i="7"/>
  <c r="M814" i="7"/>
  <c r="M815" i="7"/>
  <c r="M816" i="7"/>
  <c r="M817" i="7"/>
  <c r="M818" i="7"/>
  <c r="M819" i="7"/>
  <c r="M820" i="7"/>
  <c r="M821" i="7"/>
  <c r="M822" i="7"/>
  <c r="M823" i="7"/>
  <c r="M824" i="7"/>
  <c r="M825" i="7"/>
  <c r="M826" i="7"/>
  <c r="M827" i="7"/>
  <c r="M828" i="7"/>
  <c r="M829" i="7"/>
  <c r="M830" i="7"/>
  <c r="M831" i="7"/>
  <c r="M832" i="7"/>
  <c r="M833" i="7"/>
  <c r="M834" i="7"/>
  <c r="M835" i="7"/>
  <c r="M836" i="7"/>
  <c r="M837" i="7"/>
  <c r="M838" i="7"/>
  <c r="M839" i="7"/>
  <c r="M840" i="7"/>
  <c r="M841" i="7"/>
  <c r="M842" i="7"/>
  <c r="M843" i="7"/>
  <c r="M844" i="7"/>
  <c r="M845" i="7"/>
  <c r="M846" i="7"/>
  <c r="M847" i="7"/>
  <c r="M848" i="7"/>
  <c r="M849" i="7"/>
  <c r="M850" i="7"/>
  <c r="M851" i="7"/>
  <c r="M852" i="7"/>
  <c r="M853" i="7"/>
  <c r="M854" i="7"/>
  <c r="M855" i="7"/>
  <c r="M856" i="7"/>
  <c r="M857" i="7"/>
  <c r="M858" i="7"/>
  <c r="M859" i="7"/>
  <c r="M860" i="7"/>
  <c r="M861" i="7"/>
  <c r="M862" i="7"/>
  <c r="M863" i="7"/>
  <c r="M864" i="7"/>
  <c r="M865" i="7"/>
  <c r="M866" i="7"/>
  <c r="M867" i="7"/>
  <c r="M868" i="7"/>
  <c r="M869" i="7"/>
  <c r="M870" i="7"/>
  <c r="M871" i="7"/>
  <c r="M872" i="7"/>
  <c r="M873" i="7"/>
  <c r="M874" i="7"/>
  <c r="M875" i="7"/>
  <c r="M876" i="7"/>
  <c r="M877" i="7"/>
  <c r="M878" i="7"/>
  <c r="M879" i="7"/>
  <c r="M880" i="7"/>
  <c r="M881" i="7"/>
  <c r="M882" i="7"/>
  <c r="M883" i="7"/>
  <c r="M884" i="7"/>
  <c r="M885" i="7"/>
  <c r="M886" i="7"/>
  <c r="M887" i="7"/>
  <c r="M888" i="7"/>
  <c r="M889" i="7"/>
  <c r="M890" i="7"/>
  <c r="M891" i="7"/>
  <c r="M892" i="7"/>
  <c r="M893" i="7"/>
  <c r="M894" i="7"/>
  <c r="M895" i="7"/>
  <c r="M896" i="7"/>
  <c r="M897" i="7"/>
  <c r="M898" i="7"/>
  <c r="M899" i="7"/>
  <c r="M900" i="7"/>
  <c r="M901" i="7"/>
  <c r="M902" i="7"/>
  <c r="M903" i="7"/>
  <c r="M904" i="7"/>
  <c r="M905" i="7"/>
  <c r="M906" i="7"/>
  <c r="M907" i="7"/>
  <c r="M908" i="7"/>
  <c r="M909" i="7"/>
  <c r="M910" i="7"/>
  <c r="M911" i="7"/>
  <c r="M912" i="7"/>
  <c r="M913" i="7"/>
  <c r="M914" i="7"/>
  <c r="M915" i="7"/>
  <c r="M916" i="7"/>
  <c r="M917" i="7"/>
  <c r="M918" i="7"/>
  <c r="M919" i="7"/>
  <c r="M920" i="7"/>
  <c r="M921" i="7"/>
  <c r="M922" i="7"/>
  <c r="M923" i="7"/>
  <c r="M924" i="7"/>
  <c r="M925" i="7"/>
  <c r="M926" i="7"/>
  <c r="M927" i="7"/>
  <c r="M928" i="7"/>
  <c r="M929" i="7"/>
  <c r="M930" i="7"/>
  <c r="M931" i="7"/>
  <c r="M932" i="7"/>
  <c r="M933" i="7"/>
  <c r="M934" i="7"/>
  <c r="M935" i="7"/>
  <c r="M936" i="7"/>
  <c r="M937" i="7"/>
  <c r="M938" i="7"/>
  <c r="M939" i="7"/>
  <c r="M940" i="7"/>
  <c r="M941" i="7"/>
  <c r="M942" i="7"/>
  <c r="M943" i="7"/>
  <c r="M944" i="7"/>
  <c r="M945" i="7"/>
  <c r="M946" i="7"/>
  <c r="M947" i="7"/>
  <c r="M948" i="7"/>
  <c r="M949" i="7"/>
  <c r="M950" i="7"/>
  <c r="M951" i="7"/>
  <c r="M952" i="7"/>
  <c r="M953" i="7"/>
  <c r="M954" i="7"/>
  <c r="M955" i="7"/>
  <c r="M956" i="7"/>
  <c r="M957" i="7"/>
  <c r="M958" i="7"/>
  <c r="M959" i="7"/>
  <c r="M960" i="7"/>
  <c r="M961" i="7"/>
  <c r="M962" i="7"/>
  <c r="M963" i="7"/>
  <c r="M964" i="7"/>
  <c r="M965" i="7"/>
  <c r="M966" i="7"/>
  <c r="M967" i="7"/>
  <c r="M968" i="7"/>
  <c r="M969" i="7"/>
  <c r="M970" i="7"/>
  <c r="M971" i="7"/>
  <c r="M972" i="7"/>
  <c r="M973" i="7"/>
  <c r="M974" i="7"/>
  <c r="M975" i="7"/>
  <c r="M976" i="7"/>
  <c r="M977" i="7"/>
  <c r="M978" i="7"/>
  <c r="M979" i="7"/>
  <c r="M980" i="7"/>
  <c r="M981" i="7"/>
  <c r="M982" i="7"/>
  <c r="M983" i="7"/>
  <c r="M984" i="7"/>
  <c r="M985" i="7"/>
  <c r="M986" i="7"/>
  <c r="M987" i="7"/>
  <c r="M988" i="7"/>
  <c r="M989" i="7"/>
  <c r="M990" i="7"/>
  <c r="M991" i="7"/>
  <c r="M992" i="7"/>
  <c r="M993" i="7"/>
  <c r="M994" i="7"/>
  <c r="M995" i="7"/>
  <c r="M996" i="7"/>
  <c r="M997" i="7"/>
  <c r="M998" i="7"/>
  <c r="M999" i="7"/>
  <c r="M1000" i="7"/>
  <c r="M1001" i="7"/>
  <c r="M2" i="7"/>
  <c r="C9" i="7"/>
  <c r="B9" i="7" l="1"/>
  <c r="E25" i="6"/>
  <c r="B27" i="6"/>
  <c r="E24" i="6"/>
  <c r="E27" i="6"/>
  <c r="B26" i="6" s="1"/>
  <c r="B13" i="6"/>
  <c r="B14" i="6"/>
  <c r="K25" i="3"/>
  <c r="B4" i="6"/>
  <c r="B12" i="6" s="1"/>
  <c r="K24" i="3" l="1"/>
  <c r="E4" i="8"/>
  <c r="F4" i="8" s="1"/>
  <c r="G4" i="8" s="1"/>
  <c r="H4" i="8" s="1"/>
  <c r="I4" i="8" s="1"/>
  <c r="J4" i="8" s="1"/>
  <c r="K4" i="8" s="1"/>
  <c r="L4" i="8" s="1"/>
  <c r="D10" i="8"/>
  <c r="E9" i="8"/>
  <c r="E10" i="8" s="1"/>
  <c r="F9" i="8"/>
  <c r="G9" i="8" s="1"/>
  <c r="L2" i="7"/>
  <c r="F10" i="8" l="1"/>
  <c r="G10" i="8"/>
  <c r="H9" i="8"/>
  <c r="I9" i="8" s="1"/>
  <c r="J9" i="8" s="1"/>
  <c r="I10" i="8"/>
  <c r="H10" i="8" l="1"/>
  <c r="K9" i="8"/>
  <c r="J10" i="8"/>
  <c r="G32" i="7"/>
  <c r="G37" i="7"/>
  <c r="G38" i="7" s="1"/>
  <c r="E15" i="8"/>
  <c r="F15" i="8" s="1"/>
  <c r="G15" i="8" s="1"/>
  <c r="H15" i="8" s="1"/>
  <c r="I15" i="8" s="1"/>
  <c r="J15" i="8" s="1"/>
  <c r="K15" i="8" s="1"/>
  <c r="L15" i="8" s="1"/>
  <c r="K10" i="8" l="1"/>
  <c r="L9" i="8"/>
  <c r="L10" i="8" s="1"/>
  <c r="G10" i="7" l="1"/>
  <c r="G2" i="7"/>
  <c r="H3" i="7"/>
  <c r="H4" i="7"/>
  <c r="H5" i="7"/>
  <c r="H10" i="7"/>
  <c r="H13" i="7"/>
  <c r="H15" i="7"/>
  <c r="H23" i="7"/>
  <c r="H25" i="7"/>
  <c r="H27" i="7"/>
  <c r="H2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K599" i="7"/>
  <c r="K600" i="7"/>
  <c r="K601" i="7"/>
  <c r="K602" i="7"/>
  <c r="K603" i="7"/>
  <c r="K604" i="7"/>
  <c r="K605" i="7"/>
  <c r="K606" i="7"/>
  <c r="K607" i="7"/>
  <c r="K608" i="7"/>
  <c r="K609" i="7"/>
  <c r="K610" i="7"/>
  <c r="K611" i="7"/>
  <c r="K612" i="7"/>
  <c r="K613" i="7"/>
  <c r="K614" i="7"/>
  <c r="K615" i="7"/>
  <c r="K616" i="7"/>
  <c r="K617" i="7"/>
  <c r="K618" i="7"/>
  <c r="K619" i="7"/>
  <c r="K620" i="7"/>
  <c r="K621" i="7"/>
  <c r="K622" i="7"/>
  <c r="K623" i="7"/>
  <c r="K624" i="7"/>
  <c r="K625" i="7"/>
  <c r="K626" i="7"/>
  <c r="K627" i="7"/>
  <c r="K628" i="7"/>
  <c r="K629" i="7"/>
  <c r="K630" i="7"/>
  <c r="K631" i="7"/>
  <c r="K632" i="7"/>
  <c r="K633" i="7"/>
  <c r="K634" i="7"/>
  <c r="K635" i="7"/>
  <c r="K636" i="7"/>
  <c r="K637" i="7"/>
  <c r="K638" i="7"/>
  <c r="K639" i="7"/>
  <c r="K640" i="7"/>
  <c r="K641" i="7"/>
  <c r="K642" i="7"/>
  <c r="K643" i="7"/>
  <c r="K644" i="7"/>
  <c r="K645" i="7"/>
  <c r="K646" i="7"/>
  <c r="K647" i="7"/>
  <c r="K648" i="7"/>
  <c r="K649" i="7"/>
  <c r="K650" i="7"/>
  <c r="K651" i="7"/>
  <c r="K652" i="7"/>
  <c r="K653" i="7"/>
  <c r="K654" i="7"/>
  <c r="K655" i="7"/>
  <c r="K656" i="7"/>
  <c r="K657" i="7"/>
  <c r="K658" i="7"/>
  <c r="K659" i="7"/>
  <c r="K660" i="7"/>
  <c r="K661" i="7"/>
  <c r="K662" i="7"/>
  <c r="K663" i="7"/>
  <c r="K664" i="7"/>
  <c r="K665" i="7"/>
  <c r="K666" i="7"/>
  <c r="K667" i="7"/>
  <c r="K668" i="7"/>
  <c r="K669" i="7"/>
  <c r="K670" i="7"/>
  <c r="K671" i="7"/>
  <c r="K672" i="7"/>
  <c r="K673" i="7"/>
  <c r="K674" i="7"/>
  <c r="K675" i="7"/>
  <c r="K676" i="7"/>
  <c r="K677" i="7"/>
  <c r="K678" i="7"/>
  <c r="K679" i="7"/>
  <c r="K680" i="7"/>
  <c r="K681" i="7"/>
  <c r="K682" i="7"/>
  <c r="K683" i="7"/>
  <c r="K684" i="7"/>
  <c r="K685" i="7"/>
  <c r="K686" i="7"/>
  <c r="K687" i="7"/>
  <c r="K688" i="7"/>
  <c r="K689" i="7"/>
  <c r="K690" i="7"/>
  <c r="K691" i="7"/>
  <c r="K692" i="7"/>
  <c r="K693" i="7"/>
  <c r="K694" i="7"/>
  <c r="K695" i="7"/>
  <c r="K696" i="7"/>
  <c r="K697" i="7"/>
  <c r="K698" i="7"/>
  <c r="K699" i="7"/>
  <c r="K700" i="7"/>
  <c r="K701" i="7"/>
  <c r="K702" i="7"/>
  <c r="K703" i="7"/>
  <c r="K704" i="7"/>
  <c r="K705" i="7"/>
  <c r="K706" i="7"/>
  <c r="K707" i="7"/>
  <c r="K708" i="7"/>
  <c r="K709" i="7"/>
  <c r="K710" i="7"/>
  <c r="K711" i="7"/>
  <c r="K712" i="7"/>
  <c r="K713" i="7"/>
  <c r="K714" i="7"/>
  <c r="K715" i="7"/>
  <c r="K716" i="7"/>
  <c r="K717" i="7"/>
  <c r="K718" i="7"/>
  <c r="K719" i="7"/>
  <c r="K720" i="7"/>
  <c r="K721" i="7"/>
  <c r="K722" i="7"/>
  <c r="K723" i="7"/>
  <c r="K724" i="7"/>
  <c r="K725" i="7"/>
  <c r="K726" i="7"/>
  <c r="K727" i="7"/>
  <c r="K728" i="7"/>
  <c r="K729" i="7"/>
  <c r="K730" i="7"/>
  <c r="K731" i="7"/>
  <c r="K732" i="7"/>
  <c r="K733" i="7"/>
  <c r="K734" i="7"/>
  <c r="K735" i="7"/>
  <c r="K736" i="7"/>
  <c r="K737" i="7"/>
  <c r="K738" i="7"/>
  <c r="K739" i="7"/>
  <c r="K740" i="7"/>
  <c r="K741" i="7"/>
  <c r="K742" i="7"/>
  <c r="K743" i="7"/>
  <c r="K744" i="7"/>
  <c r="K745" i="7"/>
  <c r="K746" i="7"/>
  <c r="K747" i="7"/>
  <c r="K748" i="7"/>
  <c r="K749" i="7"/>
  <c r="K750" i="7"/>
  <c r="K751" i="7"/>
  <c r="K752" i="7"/>
  <c r="K753" i="7"/>
  <c r="K754" i="7"/>
  <c r="K755" i="7"/>
  <c r="K756" i="7"/>
  <c r="K757" i="7"/>
  <c r="K758" i="7"/>
  <c r="K759" i="7"/>
  <c r="K760" i="7"/>
  <c r="K761" i="7"/>
  <c r="K762" i="7"/>
  <c r="K763" i="7"/>
  <c r="K764" i="7"/>
  <c r="K765" i="7"/>
  <c r="K766" i="7"/>
  <c r="K767" i="7"/>
  <c r="K768" i="7"/>
  <c r="K769" i="7"/>
  <c r="K770" i="7"/>
  <c r="K771" i="7"/>
  <c r="K772" i="7"/>
  <c r="K773" i="7"/>
  <c r="K774" i="7"/>
  <c r="K775" i="7"/>
  <c r="K776" i="7"/>
  <c r="K777" i="7"/>
  <c r="K778" i="7"/>
  <c r="K779" i="7"/>
  <c r="K780" i="7"/>
  <c r="K781" i="7"/>
  <c r="K782" i="7"/>
  <c r="K783" i="7"/>
  <c r="K784" i="7"/>
  <c r="K785" i="7"/>
  <c r="K786" i="7"/>
  <c r="K787" i="7"/>
  <c r="K788" i="7"/>
  <c r="K789" i="7"/>
  <c r="K790" i="7"/>
  <c r="K791" i="7"/>
  <c r="K792" i="7"/>
  <c r="K793" i="7"/>
  <c r="K794" i="7"/>
  <c r="K795" i="7"/>
  <c r="K796" i="7"/>
  <c r="K797" i="7"/>
  <c r="K798" i="7"/>
  <c r="K799" i="7"/>
  <c r="K800" i="7"/>
  <c r="K801" i="7"/>
  <c r="K802" i="7"/>
  <c r="K803" i="7"/>
  <c r="K804" i="7"/>
  <c r="K805" i="7"/>
  <c r="K806" i="7"/>
  <c r="K807" i="7"/>
  <c r="K808" i="7"/>
  <c r="K809" i="7"/>
  <c r="K810" i="7"/>
  <c r="K811" i="7"/>
  <c r="K812" i="7"/>
  <c r="K813" i="7"/>
  <c r="K814" i="7"/>
  <c r="K815" i="7"/>
  <c r="K816" i="7"/>
  <c r="K817" i="7"/>
  <c r="K818" i="7"/>
  <c r="K819" i="7"/>
  <c r="K820" i="7"/>
  <c r="K821" i="7"/>
  <c r="K822" i="7"/>
  <c r="K823" i="7"/>
  <c r="K824" i="7"/>
  <c r="K825" i="7"/>
  <c r="K826" i="7"/>
  <c r="K827" i="7"/>
  <c r="K828" i="7"/>
  <c r="K829" i="7"/>
  <c r="K830" i="7"/>
  <c r="K831" i="7"/>
  <c r="K832" i="7"/>
  <c r="K833" i="7"/>
  <c r="K834" i="7"/>
  <c r="K835" i="7"/>
  <c r="K836" i="7"/>
  <c r="K837" i="7"/>
  <c r="K838" i="7"/>
  <c r="K839" i="7"/>
  <c r="K840" i="7"/>
  <c r="K841" i="7"/>
  <c r="K842" i="7"/>
  <c r="K843" i="7"/>
  <c r="K844" i="7"/>
  <c r="K845" i="7"/>
  <c r="K846" i="7"/>
  <c r="K847" i="7"/>
  <c r="K848" i="7"/>
  <c r="K849" i="7"/>
  <c r="K850" i="7"/>
  <c r="K851" i="7"/>
  <c r="K852" i="7"/>
  <c r="K853" i="7"/>
  <c r="K854" i="7"/>
  <c r="K855" i="7"/>
  <c r="K856" i="7"/>
  <c r="K857" i="7"/>
  <c r="K858" i="7"/>
  <c r="K859" i="7"/>
  <c r="K860" i="7"/>
  <c r="K861" i="7"/>
  <c r="K862" i="7"/>
  <c r="K863" i="7"/>
  <c r="K864" i="7"/>
  <c r="K865" i="7"/>
  <c r="K866" i="7"/>
  <c r="K867" i="7"/>
  <c r="K868" i="7"/>
  <c r="K869" i="7"/>
  <c r="K870" i="7"/>
  <c r="K871" i="7"/>
  <c r="K872" i="7"/>
  <c r="K873" i="7"/>
  <c r="K874" i="7"/>
  <c r="K875" i="7"/>
  <c r="K876" i="7"/>
  <c r="K877" i="7"/>
  <c r="K878" i="7"/>
  <c r="K879" i="7"/>
  <c r="K880" i="7"/>
  <c r="K881" i="7"/>
  <c r="K882" i="7"/>
  <c r="K883" i="7"/>
  <c r="K884" i="7"/>
  <c r="K885" i="7"/>
  <c r="K886" i="7"/>
  <c r="K887" i="7"/>
  <c r="K888" i="7"/>
  <c r="K889" i="7"/>
  <c r="K890" i="7"/>
  <c r="K891" i="7"/>
  <c r="K892" i="7"/>
  <c r="K893" i="7"/>
  <c r="K894" i="7"/>
  <c r="K895" i="7"/>
  <c r="K896" i="7"/>
  <c r="K897" i="7"/>
  <c r="K898" i="7"/>
  <c r="K899" i="7"/>
  <c r="K900" i="7"/>
  <c r="K901" i="7"/>
  <c r="K902" i="7"/>
  <c r="K903" i="7"/>
  <c r="K904" i="7"/>
  <c r="K905" i="7"/>
  <c r="K906" i="7"/>
  <c r="K907" i="7"/>
  <c r="K908" i="7"/>
  <c r="K909" i="7"/>
  <c r="K910" i="7"/>
  <c r="K911" i="7"/>
  <c r="K912" i="7"/>
  <c r="K913" i="7"/>
  <c r="K914" i="7"/>
  <c r="K915" i="7"/>
  <c r="K916" i="7"/>
  <c r="K917" i="7"/>
  <c r="K918" i="7"/>
  <c r="K919" i="7"/>
  <c r="K920" i="7"/>
  <c r="K921" i="7"/>
  <c r="K922" i="7"/>
  <c r="K923" i="7"/>
  <c r="K924" i="7"/>
  <c r="K925" i="7"/>
  <c r="K926" i="7"/>
  <c r="K927" i="7"/>
  <c r="K928" i="7"/>
  <c r="K929" i="7"/>
  <c r="K930" i="7"/>
  <c r="K931" i="7"/>
  <c r="K932" i="7"/>
  <c r="K933" i="7"/>
  <c r="K934" i="7"/>
  <c r="K935" i="7"/>
  <c r="K936" i="7"/>
  <c r="K937" i="7"/>
  <c r="K938" i="7"/>
  <c r="K939" i="7"/>
  <c r="K940" i="7"/>
  <c r="K941" i="7"/>
  <c r="K942" i="7"/>
  <c r="K943" i="7"/>
  <c r="K944" i="7"/>
  <c r="K945" i="7"/>
  <c r="K946" i="7"/>
  <c r="K947" i="7"/>
  <c r="K948" i="7"/>
  <c r="K949" i="7"/>
  <c r="K950" i="7"/>
  <c r="K951" i="7"/>
  <c r="K952" i="7"/>
  <c r="K953" i="7"/>
  <c r="K954" i="7"/>
  <c r="K955" i="7"/>
  <c r="K956" i="7"/>
  <c r="K957" i="7"/>
  <c r="K958" i="7"/>
  <c r="K959" i="7"/>
  <c r="K960" i="7"/>
  <c r="K961" i="7"/>
  <c r="K962" i="7"/>
  <c r="K963" i="7"/>
  <c r="K964" i="7"/>
  <c r="K965" i="7"/>
  <c r="K966" i="7"/>
  <c r="K967" i="7"/>
  <c r="K968" i="7"/>
  <c r="K969" i="7"/>
  <c r="K970" i="7"/>
  <c r="K971" i="7"/>
  <c r="K972" i="7"/>
  <c r="K973" i="7"/>
  <c r="K974" i="7"/>
  <c r="K975" i="7"/>
  <c r="K976" i="7"/>
  <c r="K977" i="7"/>
  <c r="K978" i="7"/>
  <c r="K979" i="7"/>
  <c r="K980" i="7"/>
  <c r="K981" i="7"/>
  <c r="K982" i="7"/>
  <c r="K983" i="7"/>
  <c r="K984" i="7"/>
  <c r="K985" i="7"/>
  <c r="K986" i="7"/>
  <c r="K987" i="7"/>
  <c r="K988" i="7"/>
  <c r="K989" i="7"/>
  <c r="K990" i="7"/>
  <c r="K991" i="7"/>
  <c r="K992" i="7"/>
  <c r="K993" i="7"/>
  <c r="K994" i="7"/>
  <c r="K995" i="7"/>
  <c r="K996" i="7"/>
  <c r="K997" i="7"/>
  <c r="K998" i="7"/>
  <c r="K999" i="7"/>
  <c r="K1000" i="7"/>
  <c r="K1001" i="7"/>
  <c r="K2" i="7"/>
  <c r="B4" i="7"/>
  <c r="B3" i="7"/>
  <c r="H29" i="7" l="1"/>
  <c r="D20" i="8"/>
  <c r="L994" i="7"/>
  <c r="L986" i="7"/>
  <c r="L982" i="7"/>
  <c r="L970" i="7"/>
  <c r="L962" i="7"/>
  <c r="L958" i="7"/>
  <c r="L950" i="7"/>
  <c r="L938" i="7"/>
  <c r="L930" i="7"/>
  <c r="L922" i="7"/>
  <c r="L914" i="7"/>
  <c r="L906" i="7"/>
  <c r="L898" i="7"/>
  <c r="L890" i="7"/>
  <c r="L882" i="7"/>
  <c r="L878" i="7"/>
  <c r="L870" i="7"/>
  <c r="L862" i="7"/>
  <c r="L850" i="7"/>
  <c r="L846" i="7"/>
  <c r="L834" i="7"/>
  <c r="L826" i="7"/>
  <c r="L822" i="7"/>
  <c r="L814" i="7"/>
  <c r="L806" i="7"/>
  <c r="L798" i="7"/>
  <c r="L790" i="7"/>
  <c r="L782" i="7"/>
  <c r="L774" i="7"/>
  <c r="L766" i="7"/>
  <c r="L758" i="7"/>
  <c r="L750" i="7"/>
  <c r="L742" i="7"/>
  <c r="L734" i="7"/>
  <c r="L726" i="7"/>
  <c r="L718" i="7"/>
  <c r="L710" i="7"/>
  <c r="L702" i="7"/>
  <c r="L690" i="7"/>
  <c r="L682" i="7"/>
  <c r="L674" i="7"/>
  <c r="L666" i="7"/>
  <c r="L658" i="7"/>
  <c r="L650" i="7"/>
  <c r="L642" i="7"/>
  <c r="L634" i="7"/>
  <c r="L626" i="7"/>
  <c r="L614" i="7"/>
  <c r="L606" i="7"/>
  <c r="L598" i="7"/>
  <c r="L590" i="7"/>
  <c r="L582" i="7"/>
  <c r="L570" i="7"/>
  <c r="L562" i="7"/>
  <c r="L554" i="7"/>
  <c r="L546" i="7"/>
  <c r="L542" i="7"/>
  <c r="L534" i="7"/>
  <c r="L526" i="7"/>
  <c r="L518" i="7"/>
  <c r="L510" i="7"/>
  <c r="L502" i="7"/>
  <c r="L494" i="7"/>
  <c r="L486" i="7"/>
  <c r="L478" i="7"/>
  <c r="L470" i="7"/>
  <c r="L462" i="7"/>
  <c r="L454" i="7"/>
  <c r="L442" i="7"/>
  <c r="L438" i="7"/>
  <c r="L430" i="7"/>
  <c r="L418" i="7"/>
  <c r="L414" i="7"/>
  <c r="L406" i="7"/>
  <c r="L398" i="7"/>
  <c r="L386" i="7"/>
  <c r="L382" i="7"/>
  <c r="L673" i="7"/>
  <c r="L625" i="7"/>
  <c r="L561" i="7"/>
  <c r="L497" i="7"/>
  <c r="L523" i="7"/>
  <c r="L459" i="7"/>
  <c r="L998" i="7"/>
  <c r="L990" i="7"/>
  <c r="L978" i="7"/>
  <c r="L974" i="7"/>
  <c r="L966" i="7"/>
  <c r="L954" i="7"/>
  <c r="L946" i="7"/>
  <c r="L942" i="7"/>
  <c r="L934" i="7"/>
  <c r="L926" i="7"/>
  <c r="L918" i="7"/>
  <c r="L910" i="7"/>
  <c r="L902" i="7"/>
  <c r="L894" i="7"/>
  <c r="L886" i="7"/>
  <c r="L874" i="7"/>
  <c r="L866" i="7"/>
  <c r="L858" i="7"/>
  <c r="L854" i="7"/>
  <c r="L842" i="7"/>
  <c r="L838" i="7"/>
  <c r="L830" i="7"/>
  <c r="L818" i="7"/>
  <c r="L810" i="7"/>
  <c r="L802" i="7"/>
  <c r="L794" i="7"/>
  <c r="L786" i="7"/>
  <c r="L778" i="7"/>
  <c r="L770" i="7"/>
  <c r="L762" i="7"/>
  <c r="L754" i="7"/>
  <c r="L746" i="7"/>
  <c r="L738" i="7"/>
  <c r="L730" i="7"/>
  <c r="L722" i="7"/>
  <c r="L714" i="7"/>
  <c r="L706" i="7"/>
  <c r="L698" i="7"/>
  <c r="L694" i="7"/>
  <c r="L686" i="7"/>
  <c r="L678" i="7"/>
  <c r="L670" i="7"/>
  <c r="L662" i="7"/>
  <c r="L654" i="7"/>
  <c r="L646" i="7"/>
  <c r="L638" i="7"/>
  <c r="L630" i="7"/>
  <c r="L622" i="7"/>
  <c r="L618" i="7"/>
  <c r="L610" i="7"/>
  <c r="L602" i="7"/>
  <c r="L594" i="7"/>
  <c r="L586" i="7"/>
  <c r="L578" i="7"/>
  <c r="L574" i="7"/>
  <c r="L566" i="7"/>
  <c r="L558" i="7"/>
  <c r="L550" i="7"/>
  <c r="L538" i="7"/>
  <c r="L530" i="7"/>
  <c r="L522" i="7"/>
  <c r="L514" i="7"/>
  <c r="L506" i="7"/>
  <c r="L498" i="7"/>
  <c r="L490" i="7"/>
  <c r="L482" i="7"/>
  <c r="L474" i="7"/>
  <c r="L466" i="7"/>
  <c r="L458" i="7"/>
  <c r="L450" i="7"/>
  <c r="L446" i="7"/>
  <c r="L434" i="7"/>
  <c r="L426" i="7"/>
  <c r="L422" i="7"/>
  <c r="L410" i="7"/>
  <c r="L402" i="7"/>
  <c r="L394" i="7"/>
  <c r="L390" i="7"/>
  <c r="L378" i="7"/>
  <c r="L980" i="7"/>
  <c r="L412" i="7"/>
  <c r="B5" i="7"/>
  <c r="B6" i="7"/>
  <c r="L374" i="7"/>
  <c r="L370" i="7"/>
  <c r="L366" i="7"/>
  <c r="L362" i="7"/>
  <c r="L358" i="7"/>
  <c r="L354" i="7"/>
  <c r="L350" i="7"/>
  <c r="L346" i="7"/>
  <c r="L342" i="7"/>
  <c r="L338" i="7"/>
  <c r="L334" i="7"/>
  <c r="L330" i="7"/>
  <c r="L326" i="7"/>
  <c r="L322" i="7"/>
  <c r="L318" i="7"/>
  <c r="L314" i="7"/>
  <c r="L310" i="7"/>
  <c r="L306" i="7"/>
  <c r="L302" i="7"/>
  <c r="L294" i="7"/>
  <c r="L274" i="7"/>
  <c r="L1001" i="7"/>
  <c r="L997" i="7"/>
  <c r="L993" i="7"/>
  <c r="L989" i="7"/>
  <c r="L985" i="7"/>
  <c r="L981" i="7"/>
  <c r="L977" i="7"/>
  <c r="L973" i="7"/>
  <c r="L969" i="7"/>
  <c r="L961" i="7"/>
  <c r="L957" i="7"/>
  <c r="L953" i="7"/>
  <c r="L945" i="7"/>
  <c r="L941" i="7"/>
  <c r="L937" i="7"/>
  <c r="L929" i="7"/>
  <c r="L925" i="7"/>
  <c r="L921" i="7"/>
  <c r="L913" i="7"/>
  <c r="L909" i="7"/>
  <c r="L905" i="7"/>
  <c r="L897" i="7"/>
  <c r="L893" i="7"/>
  <c r="L889" i="7"/>
  <c r="L881" i="7"/>
  <c r="L877" i="7"/>
  <c r="L873" i="7"/>
  <c r="L865" i="7"/>
  <c r="L861" i="7"/>
  <c r="L857" i="7"/>
  <c r="L849" i="7"/>
  <c r="L845" i="7"/>
  <c r="L841" i="7"/>
  <c r="L833" i="7"/>
  <c r="L829" i="7"/>
  <c r="L825" i="7"/>
  <c r="L817" i="7"/>
  <c r="L813" i="7"/>
  <c r="L809" i="7"/>
  <c r="L801" i="7"/>
  <c r="L797" i="7"/>
  <c r="L793" i="7"/>
  <c r="L785" i="7"/>
  <c r="L781" i="7"/>
  <c r="L777" i="7"/>
  <c r="L769" i="7"/>
  <c r="L765" i="7"/>
  <c r="L761" i="7"/>
  <c r="L753" i="7"/>
  <c r="L749" i="7"/>
  <c r="L745" i="7"/>
  <c r="L737" i="7"/>
  <c r="L733" i="7"/>
  <c r="L729" i="7"/>
  <c r="L721" i="7"/>
  <c r="L717" i="7"/>
  <c r="L713" i="7"/>
  <c r="L705" i="7"/>
  <c r="L701" i="7"/>
  <c r="L697" i="7"/>
  <c r="L689" i="7"/>
  <c r="L685" i="7"/>
  <c r="L681" i="7"/>
  <c r="L677" i="7"/>
  <c r="L669" i="7"/>
  <c r="L665" i="7"/>
  <c r="L657" i="7"/>
  <c r="L653" i="7"/>
  <c r="L649" i="7"/>
  <c r="L645" i="7"/>
  <c r="L641" i="7"/>
  <c r="L637" i="7"/>
  <c r="L633" i="7"/>
  <c r="L629" i="7"/>
  <c r="L621" i="7"/>
  <c r="L617" i="7"/>
  <c r="L609" i="7"/>
  <c r="L605" i="7"/>
  <c r="L601" i="7"/>
  <c r="L597" i="7"/>
  <c r="L593" i="7"/>
  <c r="L589" i="7"/>
  <c r="L585" i="7"/>
  <c r="L581" i="7"/>
  <c r="L577" i="7"/>
  <c r="L573" i="7"/>
  <c r="L569" i="7"/>
  <c r="L565" i="7"/>
  <c r="L557" i="7"/>
  <c r="L553" i="7"/>
  <c r="L545" i="7"/>
  <c r="L541" i="7"/>
  <c r="L537" i="7"/>
  <c r="L533" i="7"/>
  <c r="L529" i="7"/>
  <c r="L525" i="7"/>
  <c r="L521" i="7"/>
  <c r="L517" i="7"/>
  <c r="L513" i="7"/>
  <c r="L509" i="7"/>
  <c r="L505" i="7"/>
  <c r="L501" i="7"/>
  <c r="L493" i="7"/>
  <c r="L489" i="7"/>
  <c r="L481" i="7"/>
  <c r="L477" i="7"/>
  <c r="L473" i="7"/>
  <c r="L469" i="7"/>
  <c r="L465" i="7"/>
  <c r="L461" i="7"/>
  <c r="L457" i="7"/>
  <c r="L453" i="7"/>
  <c r="L449" i="7"/>
  <c r="L445" i="7"/>
  <c r="L441" i="7"/>
  <c r="L437" i="7"/>
  <c r="L433" i="7"/>
  <c r="L429" i="7"/>
  <c r="L425" i="7"/>
  <c r="L421" i="7"/>
  <c r="L417" i="7"/>
  <c r="L413" i="7"/>
  <c r="L409" i="7"/>
  <c r="L405" i="7"/>
  <c r="L401" i="7"/>
  <c r="L397" i="7"/>
  <c r="L393" i="7"/>
  <c r="L389" i="7"/>
  <c r="L385" i="7"/>
  <c r="L381" i="7"/>
  <c r="L377" i="7"/>
  <c r="L373" i="7"/>
  <c r="L369" i="7"/>
  <c r="L365" i="7"/>
  <c r="L361" i="7"/>
  <c r="L357" i="7"/>
  <c r="L353" i="7"/>
  <c r="L349" i="7"/>
  <c r="L345" i="7"/>
  <c r="L1000" i="7"/>
  <c r="L949" i="7"/>
  <c r="L885" i="7"/>
  <c r="L821" i="7"/>
  <c r="L757" i="7"/>
  <c r="L693" i="7"/>
  <c r="L667" i="7"/>
  <c r="L587" i="7"/>
  <c r="L485" i="7"/>
  <c r="L996" i="7"/>
  <c r="L992" i="7"/>
  <c r="L988" i="7"/>
  <c r="L984" i="7"/>
  <c r="L976" i="7"/>
  <c r="L972" i="7"/>
  <c r="L968" i="7"/>
  <c r="L964" i="7"/>
  <c r="L960" i="7"/>
  <c r="L956" i="7"/>
  <c r="L952" i="7"/>
  <c r="L948" i="7"/>
  <c r="L944" i="7"/>
  <c r="L940" i="7"/>
  <c r="L936" i="7"/>
  <c r="L932" i="7"/>
  <c r="L928" i="7"/>
  <c r="L924" i="7"/>
  <c r="L920" i="7"/>
  <c r="L916" i="7"/>
  <c r="L912" i="7"/>
  <c r="L908" i="7"/>
  <c r="L904" i="7"/>
  <c r="L900" i="7"/>
  <c r="L896" i="7"/>
  <c r="L892" i="7"/>
  <c r="L888" i="7"/>
  <c r="L884" i="7"/>
  <c r="L880" i="7"/>
  <c r="L876" i="7"/>
  <c r="L872" i="7"/>
  <c r="L868" i="7"/>
  <c r="L864" i="7"/>
  <c r="L860" i="7"/>
  <c r="L856" i="7"/>
  <c r="L852" i="7"/>
  <c r="L848" i="7"/>
  <c r="L844" i="7"/>
  <c r="L840" i="7"/>
  <c r="L836" i="7"/>
  <c r="L832" i="7"/>
  <c r="L828" i="7"/>
  <c r="L824" i="7"/>
  <c r="L820" i="7"/>
  <c r="L816" i="7"/>
  <c r="L812" i="7"/>
  <c r="L808" i="7"/>
  <c r="L804" i="7"/>
  <c r="L800" i="7"/>
  <c r="L796" i="7"/>
  <c r="L792" i="7"/>
  <c r="L788" i="7"/>
  <c r="L784" i="7"/>
  <c r="L780" i="7"/>
  <c r="L776" i="7"/>
  <c r="L772" i="7"/>
  <c r="L768" i="7"/>
  <c r="L764" i="7"/>
  <c r="L760" i="7"/>
  <c r="L756" i="7"/>
  <c r="L752" i="7"/>
  <c r="L748" i="7"/>
  <c r="L744" i="7"/>
  <c r="L740" i="7"/>
  <c r="L736" i="7"/>
  <c r="L732" i="7"/>
  <c r="L728" i="7"/>
  <c r="L724" i="7"/>
  <c r="L720" i="7"/>
  <c r="L716" i="7"/>
  <c r="L712" i="7"/>
  <c r="L708" i="7"/>
  <c r="L704" i="7"/>
  <c r="L700" i="7"/>
  <c r="L696" i="7"/>
  <c r="L692" i="7"/>
  <c r="L688" i="7"/>
  <c r="L684" i="7"/>
  <c r="L680" i="7"/>
  <c r="L676" i="7"/>
  <c r="L672" i="7"/>
  <c r="L668" i="7"/>
  <c r="L664" i="7"/>
  <c r="L660" i="7"/>
  <c r="L656" i="7"/>
  <c r="L652" i="7"/>
  <c r="L648" i="7"/>
  <c r="L644" i="7"/>
  <c r="L640" i="7"/>
  <c r="L636" i="7"/>
  <c r="L632" i="7"/>
  <c r="L628" i="7"/>
  <c r="L624" i="7"/>
  <c r="L620" i="7"/>
  <c r="L616" i="7"/>
  <c r="L612" i="7"/>
  <c r="L608" i="7"/>
  <c r="L604" i="7"/>
  <c r="L600" i="7"/>
  <c r="L596" i="7"/>
  <c r="L592" i="7"/>
  <c r="L588" i="7"/>
  <c r="L584" i="7"/>
  <c r="L580" i="7"/>
  <c r="L576" i="7"/>
  <c r="L572" i="7"/>
  <c r="L568" i="7"/>
  <c r="L564" i="7"/>
  <c r="L560" i="7"/>
  <c r="L556" i="7"/>
  <c r="L552" i="7"/>
  <c r="L548" i="7"/>
  <c r="L544" i="7"/>
  <c r="L540" i="7"/>
  <c r="L536" i="7"/>
  <c r="L532" i="7"/>
  <c r="L528" i="7"/>
  <c r="L524" i="7"/>
  <c r="L520" i="7"/>
  <c r="L516" i="7"/>
  <c r="L512" i="7"/>
  <c r="L508" i="7"/>
  <c r="L504" i="7"/>
  <c r="L500" i="7"/>
  <c r="L496" i="7"/>
  <c r="L492" i="7"/>
  <c r="L488" i="7"/>
  <c r="L484" i="7"/>
  <c r="L480" i="7"/>
  <c r="L476" i="7"/>
  <c r="L472" i="7"/>
  <c r="L468" i="7"/>
  <c r="L464" i="7"/>
  <c r="L460" i="7"/>
  <c r="L456" i="7"/>
  <c r="L452" i="7"/>
  <c r="L448" i="7"/>
  <c r="L444" i="7"/>
  <c r="L440" i="7"/>
  <c r="L436" i="7"/>
  <c r="L432" i="7"/>
  <c r="L428" i="7"/>
  <c r="L424" i="7"/>
  <c r="L420" i="7"/>
  <c r="L416" i="7"/>
  <c r="L408" i="7"/>
  <c r="L404" i="7"/>
  <c r="L400" i="7"/>
  <c r="L396" i="7"/>
  <c r="L392" i="7"/>
  <c r="L388" i="7"/>
  <c r="L384" i="7"/>
  <c r="L380" i="7"/>
  <c r="L376" i="7"/>
  <c r="L372" i="7"/>
  <c r="L368" i="7"/>
  <c r="L364" i="7"/>
  <c r="L360" i="7"/>
  <c r="L356" i="7"/>
  <c r="L352" i="7"/>
  <c r="L348" i="7"/>
  <c r="L344" i="7"/>
  <c r="L340" i="7"/>
  <c r="L336" i="7"/>
  <c r="L332" i="7"/>
  <c r="L328" i="7"/>
  <c r="L324" i="7"/>
  <c r="L320" i="7"/>
  <c r="L316" i="7"/>
  <c r="L312" i="7"/>
  <c r="L308" i="7"/>
  <c r="L304" i="7"/>
  <c r="L300" i="7"/>
  <c r="L296" i="7"/>
  <c r="L292" i="7"/>
  <c r="L288" i="7"/>
  <c r="L284" i="7"/>
  <c r="L280" i="7"/>
  <c r="L276" i="7"/>
  <c r="L272" i="7"/>
  <c r="L268" i="7"/>
  <c r="L264" i="7"/>
  <c r="L260" i="7"/>
  <c r="L256" i="7"/>
  <c r="L252" i="7"/>
  <c r="L248" i="7"/>
  <c r="L244" i="7"/>
  <c r="L240" i="7"/>
  <c r="L236" i="7"/>
  <c r="L232" i="7"/>
  <c r="L228" i="7"/>
  <c r="L224" i="7"/>
  <c r="L220" i="7"/>
  <c r="L216" i="7"/>
  <c r="L212" i="7"/>
  <c r="L208" i="7"/>
  <c r="L204" i="7"/>
  <c r="L200" i="7"/>
  <c r="L196" i="7"/>
  <c r="L192" i="7"/>
  <c r="L188" i="7"/>
  <c r="L184" i="7"/>
  <c r="L180" i="7"/>
  <c r="L176" i="7"/>
  <c r="L172" i="7"/>
  <c r="L168" i="7"/>
  <c r="L164" i="7"/>
  <c r="L160" i="7"/>
  <c r="L156" i="7"/>
  <c r="L152" i="7"/>
  <c r="L148" i="7"/>
  <c r="L144" i="7"/>
  <c r="L140" i="7"/>
  <c r="L136" i="7"/>
  <c r="L132" i="7"/>
  <c r="L128" i="7"/>
  <c r="L124" i="7"/>
  <c r="L120" i="7"/>
  <c r="L116" i="7"/>
  <c r="L112" i="7"/>
  <c r="L108" i="7"/>
  <c r="L965" i="7"/>
  <c r="L901" i="7"/>
  <c r="L837" i="7"/>
  <c r="L773" i="7"/>
  <c r="L709" i="7"/>
  <c r="L661" i="7"/>
  <c r="L999" i="7"/>
  <c r="L995" i="7"/>
  <c r="L987" i="7"/>
  <c r="L983" i="7"/>
  <c r="L979" i="7"/>
  <c r="L975" i="7"/>
  <c r="L971" i="7"/>
  <c r="L967" i="7"/>
  <c r="L963" i="7"/>
  <c r="L959" i="7"/>
  <c r="L955" i="7"/>
  <c r="L951" i="7"/>
  <c r="L947" i="7"/>
  <c r="L943" i="7"/>
  <c r="L939" i="7"/>
  <c r="L935" i="7"/>
  <c r="L931" i="7"/>
  <c r="L927" i="7"/>
  <c r="L923" i="7"/>
  <c r="L919" i="7"/>
  <c r="L915" i="7"/>
  <c r="L911" i="7"/>
  <c r="L907" i="7"/>
  <c r="L903" i="7"/>
  <c r="L899" i="7"/>
  <c r="L895" i="7"/>
  <c r="L891" i="7"/>
  <c r="L887" i="7"/>
  <c r="L883" i="7"/>
  <c r="L879" i="7"/>
  <c r="L875" i="7"/>
  <c r="L871" i="7"/>
  <c r="L867" i="7"/>
  <c r="L863" i="7"/>
  <c r="L859" i="7"/>
  <c r="L855" i="7"/>
  <c r="L851" i="7"/>
  <c r="L847" i="7"/>
  <c r="L843" i="7"/>
  <c r="L839" i="7"/>
  <c r="L835" i="7"/>
  <c r="L831" i="7"/>
  <c r="L827" i="7"/>
  <c r="L823" i="7"/>
  <c r="L819" i="7"/>
  <c r="L815" i="7"/>
  <c r="L811" i="7"/>
  <c r="L807" i="7"/>
  <c r="L803" i="7"/>
  <c r="L799" i="7"/>
  <c r="L795" i="7"/>
  <c r="L791" i="7"/>
  <c r="L787" i="7"/>
  <c r="L783" i="7"/>
  <c r="L779" i="7"/>
  <c r="L775" i="7"/>
  <c r="L771" i="7"/>
  <c r="L767" i="7"/>
  <c r="L763" i="7"/>
  <c r="L759" i="7"/>
  <c r="L755" i="7"/>
  <c r="L751" i="7"/>
  <c r="L747" i="7"/>
  <c r="L743" i="7"/>
  <c r="L739" i="7"/>
  <c r="L735" i="7"/>
  <c r="L731" i="7"/>
  <c r="L727" i="7"/>
  <c r="L723" i="7"/>
  <c r="L719" i="7"/>
  <c r="L715" i="7"/>
  <c r="L711" i="7"/>
  <c r="L707" i="7"/>
  <c r="L703" i="7"/>
  <c r="L699" i="7"/>
  <c r="L695" i="7"/>
  <c r="L691" i="7"/>
  <c r="L687" i="7"/>
  <c r="L683" i="7"/>
  <c r="L679" i="7"/>
  <c r="L675" i="7"/>
  <c r="L671" i="7"/>
  <c r="L663" i="7"/>
  <c r="L659" i="7"/>
  <c r="L655" i="7"/>
  <c r="L651" i="7"/>
  <c r="L647" i="7"/>
  <c r="L643" i="7"/>
  <c r="L639" i="7"/>
  <c r="L635" i="7"/>
  <c r="L631" i="7"/>
  <c r="L627" i="7"/>
  <c r="L623" i="7"/>
  <c r="L619" i="7"/>
  <c r="L615" i="7"/>
  <c r="L611" i="7"/>
  <c r="L607" i="7"/>
  <c r="L603" i="7"/>
  <c r="L599" i="7"/>
  <c r="L595" i="7"/>
  <c r="L591" i="7"/>
  <c r="L583" i="7"/>
  <c r="L579" i="7"/>
  <c r="L575" i="7"/>
  <c r="L571" i="7"/>
  <c r="L567" i="7"/>
  <c r="L563" i="7"/>
  <c r="L559" i="7"/>
  <c r="L555" i="7"/>
  <c r="L551" i="7"/>
  <c r="L547" i="7"/>
  <c r="L543" i="7"/>
  <c r="L539" i="7"/>
  <c r="L535" i="7"/>
  <c r="L531" i="7"/>
  <c r="L527" i="7"/>
  <c r="L519" i="7"/>
  <c r="L515" i="7"/>
  <c r="L511" i="7"/>
  <c r="L507" i="7"/>
  <c r="L503" i="7"/>
  <c r="L499" i="7"/>
  <c r="L495" i="7"/>
  <c r="L491" i="7"/>
  <c r="L487" i="7"/>
  <c r="L483" i="7"/>
  <c r="L479" i="7"/>
  <c r="L475" i="7"/>
  <c r="L471" i="7"/>
  <c r="L467" i="7"/>
  <c r="L463" i="7"/>
  <c r="L455" i="7"/>
  <c r="L451" i="7"/>
  <c r="L447" i="7"/>
  <c r="L443" i="7"/>
  <c r="L439" i="7"/>
  <c r="L435" i="7"/>
  <c r="L431" i="7"/>
  <c r="L427" i="7"/>
  <c r="L423" i="7"/>
  <c r="L419" i="7"/>
  <c r="L415" i="7"/>
  <c r="L411" i="7"/>
  <c r="L407" i="7"/>
  <c r="L403" i="7"/>
  <c r="L917" i="7"/>
  <c r="L853" i="7"/>
  <c r="L789" i="7"/>
  <c r="L725" i="7"/>
  <c r="L613" i="7"/>
  <c r="L298" i="7"/>
  <c r="L290" i="7"/>
  <c r="L286" i="7"/>
  <c r="L282" i="7"/>
  <c r="L278" i="7"/>
  <c r="L270" i="7"/>
  <c r="L266" i="7"/>
  <c r="L262" i="7"/>
  <c r="L258" i="7"/>
  <c r="L254" i="7"/>
  <c r="L250" i="7"/>
  <c r="L246" i="7"/>
  <c r="L242" i="7"/>
  <c r="L238" i="7"/>
  <c r="L234" i="7"/>
  <c r="L230" i="7"/>
  <c r="L226" i="7"/>
  <c r="L222" i="7"/>
  <c r="L218" i="7"/>
  <c r="L214" i="7"/>
  <c r="L210" i="7"/>
  <c r="L206" i="7"/>
  <c r="L202" i="7"/>
  <c r="L198" i="7"/>
  <c r="L194" i="7"/>
  <c r="L190" i="7"/>
  <c r="L186" i="7"/>
  <c r="L182" i="7"/>
  <c r="L178" i="7"/>
  <c r="L174" i="7"/>
  <c r="L170" i="7"/>
  <c r="L166" i="7"/>
  <c r="L162" i="7"/>
  <c r="L158" i="7"/>
  <c r="L154" i="7"/>
  <c r="L150" i="7"/>
  <c r="L146" i="7"/>
  <c r="L142" i="7"/>
  <c r="L138" i="7"/>
  <c r="L134" i="7"/>
  <c r="L130" i="7"/>
  <c r="L126" i="7"/>
  <c r="L122" i="7"/>
  <c r="L118" i="7"/>
  <c r="L114" i="7"/>
  <c r="L110" i="7"/>
  <c r="L106" i="7"/>
  <c r="L102" i="7"/>
  <c r="L98" i="7"/>
  <c r="L94" i="7"/>
  <c r="L90" i="7"/>
  <c r="L86" i="7"/>
  <c r="L82" i="7"/>
  <c r="L78" i="7"/>
  <c r="L74" i="7"/>
  <c r="L70" i="7"/>
  <c r="L66" i="7"/>
  <c r="L62" i="7"/>
  <c r="L58" i="7"/>
  <c r="L54" i="7"/>
  <c r="L50" i="7"/>
  <c r="L46" i="7"/>
  <c r="L42" i="7"/>
  <c r="L38" i="7"/>
  <c r="L34" i="7"/>
  <c r="L30" i="7"/>
  <c r="L26" i="7"/>
  <c r="L22" i="7"/>
  <c r="L18" i="7"/>
  <c r="L14" i="7"/>
  <c r="L10" i="7"/>
  <c r="L6" i="7"/>
  <c r="L991" i="7"/>
  <c r="L933" i="7"/>
  <c r="L869" i="7"/>
  <c r="L805" i="7"/>
  <c r="L741" i="7"/>
  <c r="L549" i="7"/>
  <c r="L341" i="7"/>
  <c r="L337" i="7"/>
  <c r="L333" i="7"/>
  <c r="L329" i="7"/>
  <c r="L325" i="7"/>
  <c r="L321" i="7"/>
  <c r="L317" i="7"/>
  <c r="L313" i="7"/>
  <c r="L309" i="7"/>
  <c r="L305" i="7"/>
  <c r="L301" i="7"/>
  <c r="L297" i="7"/>
  <c r="L293" i="7"/>
  <c r="L289" i="7"/>
  <c r="L285" i="7"/>
  <c r="L281" i="7"/>
  <c r="L277" i="7"/>
  <c r="L273" i="7"/>
  <c r="L269" i="7"/>
  <c r="L265" i="7"/>
  <c r="L261" i="7"/>
  <c r="L257" i="7"/>
  <c r="L253" i="7"/>
  <c r="L249" i="7"/>
  <c r="L245" i="7"/>
  <c r="L241" i="7"/>
  <c r="L237" i="7"/>
  <c r="L233" i="7"/>
  <c r="L229" i="7"/>
  <c r="L225" i="7"/>
  <c r="L221" i="7"/>
  <c r="L217" i="7"/>
  <c r="L213" i="7"/>
  <c r="L209" i="7"/>
  <c r="L205" i="7"/>
  <c r="L201" i="7"/>
  <c r="L197" i="7"/>
  <c r="L193" i="7"/>
  <c r="L189" i="7"/>
  <c r="L185" i="7"/>
  <c r="L181" i="7"/>
  <c r="L177" i="7"/>
  <c r="L173" i="7"/>
  <c r="L169" i="7"/>
  <c r="L165" i="7"/>
  <c r="L161" i="7"/>
  <c r="L157" i="7"/>
  <c r="L153" i="7"/>
  <c r="L149" i="7"/>
  <c r="L145" i="7"/>
  <c r="L141" i="7"/>
  <c r="L137" i="7"/>
  <c r="L133" i="7"/>
  <c r="L129" i="7"/>
  <c r="L125" i="7"/>
  <c r="L121" i="7"/>
  <c r="L117" i="7"/>
  <c r="L113" i="7"/>
  <c r="L109" i="7"/>
  <c r="L105" i="7"/>
  <c r="L101" i="7"/>
  <c r="L97" i="7"/>
  <c r="L93" i="7"/>
  <c r="L89" i="7"/>
  <c r="L85" i="7"/>
  <c r="L81" i="7"/>
  <c r="L77" i="7"/>
  <c r="L73" i="7"/>
  <c r="L69" i="7"/>
  <c r="L65" i="7"/>
  <c r="L61" i="7"/>
  <c r="L57" i="7"/>
  <c r="L53" i="7"/>
  <c r="L49" i="7"/>
  <c r="L45" i="7"/>
  <c r="L41" i="7"/>
  <c r="L37" i="7"/>
  <c r="L33" i="7"/>
  <c r="L29" i="7"/>
  <c r="L25" i="7"/>
  <c r="L21" i="7"/>
  <c r="L17" i="7"/>
  <c r="L13" i="7"/>
  <c r="L9" i="7"/>
  <c r="L5" i="7"/>
  <c r="L104" i="7"/>
  <c r="L100" i="7"/>
  <c r="L96" i="7"/>
  <c r="L92" i="7"/>
  <c r="L88" i="7"/>
  <c r="L84" i="7"/>
  <c r="L80" i="7"/>
  <c r="L76" i="7"/>
  <c r="L72" i="7"/>
  <c r="L68" i="7"/>
  <c r="L64" i="7"/>
  <c r="L60" i="7"/>
  <c r="L56" i="7"/>
  <c r="L52" i="7"/>
  <c r="L48" i="7"/>
  <c r="L44" i="7"/>
  <c r="L40" i="7"/>
  <c r="L36" i="7"/>
  <c r="L32" i="7"/>
  <c r="L28" i="7"/>
  <c r="L24" i="7"/>
  <c r="L20" i="7"/>
  <c r="L16" i="7"/>
  <c r="L12" i="7"/>
  <c r="L8" i="7"/>
  <c r="L4" i="7"/>
  <c r="L399" i="7"/>
  <c r="L395" i="7"/>
  <c r="L391" i="7"/>
  <c r="L387" i="7"/>
  <c r="L383" i="7"/>
  <c r="L379" i="7"/>
  <c r="L375" i="7"/>
  <c r="L371" i="7"/>
  <c r="L367" i="7"/>
  <c r="L363" i="7"/>
  <c r="L359" i="7"/>
  <c r="L355" i="7"/>
  <c r="L351" i="7"/>
  <c r="L347" i="7"/>
  <c r="L343" i="7"/>
  <c r="L339" i="7"/>
  <c r="L335" i="7"/>
  <c r="L331" i="7"/>
  <c r="L327" i="7"/>
  <c r="L323" i="7"/>
  <c r="L319" i="7"/>
  <c r="L315" i="7"/>
  <c r="L311" i="7"/>
  <c r="L307" i="7"/>
  <c r="L303" i="7"/>
  <c r="L299" i="7"/>
  <c r="L295" i="7"/>
  <c r="L291" i="7"/>
  <c r="L287" i="7"/>
  <c r="L283" i="7"/>
  <c r="L279" i="7"/>
  <c r="L275" i="7"/>
  <c r="L271" i="7"/>
  <c r="L267" i="7"/>
  <c r="L263" i="7"/>
  <c r="L259" i="7"/>
  <c r="L255" i="7"/>
  <c r="L251" i="7"/>
  <c r="L247" i="7"/>
  <c r="L243" i="7"/>
  <c r="L239" i="7"/>
  <c r="L235" i="7"/>
  <c r="L231" i="7"/>
  <c r="L227" i="7"/>
  <c r="L223" i="7"/>
  <c r="L219" i="7"/>
  <c r="L215" i="7"/>
  <c r="L211" i="7"/>
  <c r="L207" i="7"/>
  <c r="L203" i="7"/>
  <c r="L199" i="7"/>
  <c r="L195" i="7"/>
  <c r="L191" i="7"/>
  <c r="L187" i="7"/>
  <c r="L183" i="7"/>
  <c r="L179" i="7"/>
  <c r="L175" i="7"/>
  <c r="L171" i="7"/>
  <c r="L167" i="7"/>
  <c r="L163" i="7"/>
  <c r="L159" i="7"/>
  <c r="L155" i="7"/>
  <c r="L151" i="7"/>
  <c r="L147" i="7"/>
  <c r="L143" i="7"/>
  <c r="L139" i="7"/>
  <c r="L135" i="7"/>
  <c r="L131" i="7"/>
  <c r="L127" i="7"/>
  <c r="L123" i="7"/>
  <c r="L119" i="7"/>
  <c r="L115" i="7"/>
  <c r="L111" i="7"/>
  <c r="L107" i="7"/>
  <c r="L103" i="7"/>
  <c r="L99" i="7"/>
  <c r="L95" i="7"/>
  <c r="L91" i="7"/>
  <c r="L87" i="7"/>
  <c r="L83" i="7"/>
  <c r="L79" i="7"/>
  <c r="L75" i="7"/>
  <c r="L71" i="7"/>
  <c r="L67" i="7"/>
  <c r="L63" i="7"/>
  <c r="L59" i="7"/>
  <c r="L55" i="7"/>
  <c r="L51" i="7"/>
  <c r="L47" i="7"/>
  <c r="L43" i="7"/>
  <c r="L39" i="7"/>
  <c r="L35" i="7"/>
  <c r="L31" i="7"/>
  <c r="L27" i="7"/>
  <c r="L23" i="7"/>
  <c r="L19" i="7"/>
  <c r="L15" i="7"/>
  <c r="L11" i="7"/>
  <c r="L7" i="7"/>
  <c r="L3" i="7"/>
  <c r="E33" i="6"/>
  <c r="B33" i="6" s="1"/>
  <c r="E31" i="6"/>
  <c r="D31" i="6"/>
  <c r="E30" i="6"/>
  <c r="B24" i="6"/>
  <c r="B32" i="6"/>
  <c r="B31" i="6"/>
  <c r="B29" i="6" s="1"/>
  <c r="B30" i="6"/>
  <c r="B17" i="6"/>
  <c r="B15" i="6"/>
  <c r="B18" i="6" s="1"/>
  <c r="B11" i="6"/>
  <c r="B9" i="6"/>
  <c r="B8" i="6"/>
  <c r="B7" i="6"/>
  <c r="H8" i="7" s="1"/>
  <c r="B6" i="6"/>
  <c r="H7" i="7" s="1"/>
  <c r="B5" i="6"/>
  <c r="H6" i="7" s="1"/>
  <c r="B3" i="6"/>
  <c r="B2" i="6"/>
  <c r="B1" i="6"/>
  <c r="K21" i="3"/>
  <c r="I21" i="3"/>
  <c r="B10" i="6" l="1"/>
  <c r="C15" i="6"/>
  <c r="B7" i="7"/>
  <c r="B23" i="6"/>
  <c r="H24" i="7" s="1"/>
  <c r="B21" i="6"/>
  <c r="B20" i="6"/>
  <c r="B25" i="6"/>
  <c r="G4" i="7"/>
  <c r="G3" i="7" s="1"/>
  <c r="I3" i="7" s="1"/>
  <c r="D17" i="8"/>
  <c r="G11" i="7"/>
  <c r="G33" i="7"/>
  <c r="G34" i="7" s="1"/>
  <c r="G25" i="7"/>
  <c r="K28" i="3"/>
  <c r="K27" i="3"/>
  <c r="K29" i="3" s="1"/>
  <c r="K30" i="3" s="1"/>
  <c r="I30" i="3"/>
  <c r="I29" i="3"/>
  <c r="I28" i="3"/>
  <c r="I27" i="3"/>
  <c r="K26" i="3"/>
  <c r="K23" i="3"/>
  <c r="I24" i="3"/>
  <c r="I25" i="3"/>
  <c r="I23" i="3"/>
  <c r="K22" i="3"/>
  <c r="K20" i="3"/>
  <c r="I22" i="3"/>
  <c r="I20" i="3"/>
  <c r="I16" i="3"/>
  <c r="K16" i="3" s="1"/>
  <c r="I15" i="3"/>
  <c r="K15" i="3" s="1"/>
  <c r="H16" i="3"/>
  <c r="J16" i="3" s="1"/>
  <c r="H15" i="3"/>
  <c r="J15" i="3" s="1"/>
  <c r="J22" i="3"/>
  <c r="H22" i="3"/>
  <c r="J21" i="3"/>
  <c r="J20" i="3"/>
  <c r="H21" i="3"/>
  <c r="H20" i="3"/>
  <c r="H9" i="3"/>
  <c r="H8" i="3"/>
  <c r="G9" i="3"/>
  <c r="G8" i="3"/>
  <c r="H7" i="3"/>
  <c r="H6" i="3"/>
  <c r="G7" i="3"/>
  <c r="G6" i="3"/>
  <c r="E9" i="2"/>
  <c r="F9" i="2"/>
  <c r="G9" i="2"/>
  <c r="H9" i="2"/>
  <c r="I9" i="2" s="1"/>
  <c r="J9" i="2" s="1"/>
  <c r="K9" i="2" s="1"/>
  <c r="L9" i="2" s="1"/>
  <c r="M9" i="2" s="1"/>
  <c r="N9" i="2" s="1"/>
  <c r="O9" i="2" s="1"/>
  <c r="P9" i="2" s="1"/>
  <c r="Q9" i="2" s="1"/>
  <c r="R9" i="2" s="1"/>
  <c r="S9" i="2" s="1"/>
  <c r="T9" i="2" s="1"/>
  <c r="U9" i="2" s="1"/>
  <c r="V9" i="2" s="1"/>
  <c r="W9" i="2" s="1"/>
  <c r="X9" i="2" s="1"/>
  <c r="Y9" i="2" s="1"/>
  <c r="Z9" i="2" s="1"/>
  <c r="AA9" i="2" s="1"/>
  <c r="AB9" i="2" s="1"/>
  <c r="AC9" i="2" s="1"/>
  <c r="AD9" i="2" s="1"/>
  <c r="AE9" i="2" s="1"/>
  <c r="AF9" i="2" s="1"/>
  <c r="AG9" i="2" s="1"/>
  <c r="AH9" i="2" s="1"/>
  <c r="AI9" i="2" s="1"/>
  <c r="AJ9" i="2" s="1"/>
  <c r="AK9" i="2" s="1"/>
  <c r="AL9" i="2" s="1"/>
  <c r="AM9" i="2" s="1"/>
  <c r="AN9" i="2" s="1"/>
  <c r="AO9" i="2" s="1"/>
  <c r="AP9" i="2" s="1"/>
  <c r="AQ9" i="2" s="1"/>
  <c r="AR9" i="2" s="1"/>
  <c r="AS9" i="2" s="1"/>
  <c r="AT9" i="2" s="1"/>
  <c r="AU9" i="2" s="1"/>
  <c r="AV9" i="2" s="1"/>
  <c r="AW9" i="2" s="1"/>
  <c r="AX9" i="2" s="1"/>
  <c r="AY9" i="2" s="1"/>
  <c r="AZ9" i="2" s="1"/>
  <c r="BA9" i="2" s="1"/>
  <c r="BB9" i="2" s="1"/>
  <c r="BC9" i="2" s="1"/>
  <c r="BD9" i="2" s="1"/>
  <c r="BE9" i="2" s="1"/>
  <c r="BF9" i="2" s="1"/>
  <c r="BG9" i="2" s="1"/>
  <c r="BH9" i="2" s="1"/>
  <c r="BI9" i="2" s="1"/>
  <c r="BJ9" i="2" s="1"/>
  <c r="BK9" i="2" s="1"/>
  <c r="BL9" i="2" s="1"/>
  <c r="BM9" i="2" s="1"/>
  <c r="BN9" i="2" s="1"/>
  <c r="BO9" i="2" s="1"/>
  <c r="BP9" i="2" s="1"/>
  <c r="BQ9" i="2" s="1"/>
  <c r="BR9" i="2" s="1"/>
  <c r="BS9" i="2" s="1"/>
  <c r="BT9" i="2" s="1"/>
  <c r="BU9" i="2" s="1"/>
  <c r="BV9" i="2" s="1"/>
  <c r="BW9" i="2" s="1"/>
  <c r="BX9" i="2" s="1"/>
  <c r="BY9" i="2" s="1"/>
  <c r="BZ9" i="2" s="1"/>
  <c r="CA9" i="2" s="1"/>
  <c r="CB9" i="2" s="1"/>
  <c r="CC9" i="2" s="1"/>
  <c r="CD9" i="2" s="1"/>
  <c r="CE9" i="2" s="1"/>
  <c r="CF9" i="2" s="1"/>
  <c r="CG9" i="2" s="1"/>
  <c r="CH9" i="2" s="1"/>
  <c r="CI9" i="2" s="1"/>
  <c r="CJ9" i="2" s="1"/>
  <c r="CK9" i="2" s="1"/>
  <c r="CL9" i="2" s="1"/>
  <c r="CM9" i="2" s="1"/>
  <c r="CN9" i="2" s="1"/>
  <c r="CO9" i="2" s="1"/>
  <c r="CP9" i="2" s="1"/>
  <c r="CQ9" i="2" s="1"/>
  <c r="CR9" i="2" s="1"/>
  <c r="CS9" i="2" s="1"/>
  <c r="CT9" i="2" s="1"/>
  <c r="CU9" i="2" s="1"/>
  <c r="CV9" i="2" s="1"/>
  <c r="CW9" i="2" s="1"/>
  <c r="CX9" i="2" s="1"/>
  <c r="D9" i="2"/>
  <c r="C9" i="2"/>
  <c r="E10" i="2"/>
  <c r="F10" i="2" s="1"/>
  <c r="G10" i="2" s="1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J10" i="2" s="1"/>
  <c r="AK10" i="2" s="1"/>
  <c r="AL10" i="2" s="1"/>
  <c r="AM10" i="2" s="1"/>
  <c r="AN10" i="2" s="1"/>
  <c r="AO10" i="2" s="1"/>
  <c r="AP10" i="2" s="1"/>
  <c r="AQ10" i="2" s="1"/>
  <c r="AR10" i="2" s="1"/>
  <c r="AS10" i="2" s="1"/>
  <c r="AT10" i="2" s="1"/>
  <c r="AU10" i="2" s="1"/>
  <c r="AV10" i="2" s="1"/>
  <c r="AW10" i="2" s="1"/>
  <c r="AX10" i="2" s="1"/>
  <c r="AY10" i="2" s="1"/>
  <c r="AZ10" i="2" s="1"/>
  <c r="BA10" i="2" s="1"/>
  <c r="BB10" i="2" s="1"/>
  <c r="BC10" i="2" s="1"/>
  <c r="BD10" i="2" s="1"/>
  <c r="BE10" i="2" s="1"/>
  <c r="BF10" i="2" s="1"/>
  <c r="BG10" i="2" s="1"/>
  <c r="BH10" i="2" s="1"/>
  <c r="BI10" i="2" s="1"/>
  <c r="BJ10" i="2" s="1"/>
  <c r="BK10" i="2" s="1"/>
  <c r="BL10" i="2" s="1"/>
  <c r="BM10" i="2" s="1"/>
  <c r="BN10" i="2" s="1"/>
  <c r="BO10" i="2" s="1"/>
  <c r="BP10" i="2" s="1"/>
  <c r="BQ10" i="2" s="1"/>
  <c r="BR10" i="2" s="1"/>
  <c r="BS10" i="2" s="1"/>
  <c r="BT10" i="2" s="1"/>
  <c r="BU10" i="2" s="1"/>
  <c r="BV10" i="2" s="1"/>
  <c r="BW10" i="2" s="1"/>
  <c r="BX10" i="2" s="1"/>
  <c r="BY10" i="2" s="1"/>
  <c r="BZ10" i="2" s="1"/>
  <c r="CA10" i="2" s="1"/>
  <c r="CB10" i="2" s="1"/>
  <c r="CC10" i="2" s="1"/>
  <c r="CD10" i="2" s="1"/>
  <c r="CE10" i="2" s="1"/>
  <c r="CF10" i="2" s="1"/>
  <c r="CG10" i="2" s="1"/>
  <c r="CH10" i="2" s="1"/>
  <c r="CI10" i="2" s="1"/>
  <c r="CJ10" i="2" s="1"/>
  <c r="CK10" i="2" s="1"/>
  <c r="CL10" i="2" s="1"/>
  <c r="CM10" i="2" s="1"/>
  <c r="CN10" i="2" s="1"/>
  <c r="CO10" i="2" s="1"/>
  <c r="CP10" i="2" s="1"/>
  <c r="CQ10" i="2" s="1"/>
  <c r="CR10" i="2" s="1"/>
  <c r="CS10" i="2" s="1"/>
  <c r="CT10" i="2" s="1"/>
  <c r="CU10" i="2" s="1"/>
  <c r="CV10" i="2" s="1"/>
  <c r="CW10" i="2" s="1"/>
  <c r="CX10" i="2" s="1"/>
  <c r="CY10" i="2" s="1"/>
  <c r="D10" i="2"/>
  <c r="C10" i="2"/>
  <c r="C6" i="2"/>
  <c r="B8" i="2"/>
  <c r="B6" i="2"/>
  <c r="B7" i="2"/>
  <c r="E8" i="2"/>
  <c r="E7" i="2"/>
  <c r="E3" i="2"/>
  <c r="E2" i="2"/>
  <c r="B3" i="2"/>
  <c r="B2" i="2"/>
  <c r="B28" i="1"/>
  <c r="D28" i="1" s="1"/>
  <c r="D32" i="2" s="1"/>
  <c r="B29" i="1"/>
  <c r="D29" i="1" s="1"/>
  <c r="D33" i="2" s="1"/>
  <c r="B30" i="1"/>
  <c r="D30" i="1" s="1"/>
  <c r="D34" i="2" s="1"/>
  <c r="B31" i="1"/>
  <c r="D31" i="1" s="1"/>
  <c r="D35" i="2" s="1"/>
  <c r="B32" i="1"/>
  <c r="D32" i="1" s="1"/>
  <c r="D36" i="2" s="1"/>
  <c r="B33" i="1"/>
  <c r="D33" i="1" s="1"/>
  <c r="D37" i="2" s="1"/>
  <c r="B34" i="1"/>
  <c r="D34" i="1" s="1"/>
  <c r="D38" i="2" s="1"/>
  <c r="B35" i="1"/>
  <c r="D35" i="1" s="1"/>
  <c r="D39" i="2" s="1"/>
  <c r="B36" i="1"/>
  <c r="D36" i="1" s="1"/>
  <c r="D40" i="2" s="1"/>
  <c r="B37" i="1"/>
  <c r="D37" i="1" s="1"/>
  <c r="D41" i="2" s="1"/>
  <c r="B38" i="1"/>
  <c r="D38" i="1" s="1"/>
  <c r="D42" i="2" s="1"/>
  <c r="B39" i="1"/>
  <c r="D39" i="1" s="1"/>
  <c r="D43" i="2" s="1"/>
  <c r="B40" i="1"/>
  <c r="D40" i="1" s="1"/>
  <c r="D44" i="2" s="1"/>
  <c r="B41" i="1"/>
  <c r="D41" i="1" s="1"/>
  <c r="D45" i="2" s="1"/>
  <c r="B42" i="1"/>
  <c r="D42" i="1" s="1"/>
  <c r="D46" i="2" s="1"/>
  <c r="B43" i="1"/>
  <c r="D43" i="1" s="1"/>
  <c r="D47" i="2" s="1"/>
  <c r="B44" i="1"/>
  <c r="D44" i="1" s="1"/>
  <c r="D48" i="2" s="1"/>
  <c r="B45" i="1"/>
  <c r="D45" i="1" s="1"/>
  <c r="D49" i="2" s="1"/>
  <c r="B46" i="1"/>
  <c r="D46" i="1" s="1"/>
  <c r="D50" i="2" s="1"/>
  <c r="B47" i="1"/>
  <c r="D47" i="1" s="1"/>
  <c r="D51" i="2" s="1"/>
  <c r="B48" i="1"/>
  <c r="D48" i="1" s="1"/>
  <c r="D52" i="2" s="1"/>
  <c r="B49" i="1"/>
  <c r="D49" i="1" s="1"/>
  <c r="D53" i="2" s="1"/>
  <c r="B50" i="1"/>
  <c r="D50" i="1" s="1"/>
  <c r="D54" i="2" s="1"/>
  <c r="B51" i="1"/>
  <c r="D51" i="1" s="1"/>
  <c r="D55" i="2" s="1"/>
  <c r="B52" i="1"/>
  <c r="D52" i="1" s="1"/>
  <c r="D56" i="2" s="1"/>
  <c r="B53" i="1"/>
  <c r="D53" i="1" s="1"/>
  <c r="D57" i="2" s="1"/>
  <c r="B54" i="1"/>
  <c r="D54" i="1" s="1"/>
  <c r="D58" i="2" s="1"/>
  <c r="B55" i="1"/>
  <c r="D55" i="1" s="1"/>
  <c r="D59" i="2" s="1"/>
  <c r="B56" i="1"/>
  <c r="D56" i="1" s="1"/>
  <c r="D60" i="2" s="1"/>
  <c r="B57" i="1"/>
  <c r="D57" i="1" s="1"/>
  <c r="D61" i="2" s="1"/>
  <c r="B58" i="1"/>
  <c r="D58" i="1" s="1"/>
  <c r="D62" i="2" s="1"/>
  <c r="B59" i="1"/>
  <c r="D59" i="1" s="1"/>
  <c r="D63" i="2" s="1"/>
  <c r="B60" i="1"/>
  <c r="D60" i="1" s="1"/>
  <c r="D64" i="2" s="1"/>
  <c r="B61" i="1"/>
  <c r="D61" i="1" s="1"/>
  <c r="D65" i="2" s="1"/>
  <c r="B62" i="1"/>
  <c r="D62" i="1" s="1"/>
  <c r="D66" i="2" s="1"/>
  <c r="B63" i="1"/>
  <c r="D63" i="1" s="1"/>
  <c r="D67" i="2" s="1"/>
  <c r="B64" i="1"/>
  <c r="D64" i="1" s="1"/>
  <c r="D68" i="2" s="1"/>
  <c r="B65" i="1"/>
  <c r="D65" i="1" s="1"/>
  <c r="D69" i="2" s="1"/>
  <c r="B66" i="1"/>
  <c r="D66" i="1" s="1"/>
  <c r="D70" i="2" s="1"/>
  <c r="B67" i="1"/>
  <c r="D67" i="1" s="1"/>
  <c r="D71" i="2" s="1"/>
  <c r="B68" i="1"/>
  <c r="D68" i="1" s="1"/>
  <c r="D72" i="2" s="1"/>
  <c r="B69" i="1"/>
  <c r="D69" i="1" s="1"/>
  <c r="D73" i="2" s="1"/>
  <c r="B70" i="1"/>
  <c r="D70" i="1" s="1"/>
  <c r="D74" i="2" s="1"/>
  <c r="B71" i="1"/>
  <c r="D71" i="1" s="1"/>
  <c r="D75" i="2" s="1"/>
  <c r="B72" i="1"/>
  <c r="D72" i="1" s="1"/>
  <c r="D76" i="2" s="1"/>
  <c r="B73" i="1"/>
  <c r="D73" i="1" s="1"/>
  <c r="D77" i="2" s="1"/>
  <c r="B74" i="1"/>
  <c r="D74" i="1" s="1"/>
  <c r="D78" i="2" s="1"/>
  <c r="B75" i="1"/>
  <c r="D75" i="1" s="1"/>
  <c r="D79" i="2" s="1"/>
  <c r="B76" i="1"/>
  <c r="D76" i="1" s="1"/>
  <c r="D80" i="2" s="1"/>
  <c r="B77" i="1"/>
  <c r="D77" i="1" s="1"/>
  <c r="D81" i="2" s="1"/>
  <c r="B78" i="1"/>
  <c r="D78" i="1" s="1"/>
  <c r="D82" i="2" s="1"/>
  <c r="B79" i="1"/>
  <c r="D79" i="1" s="1"/>
  <c r="D83" i="2" s="1"/>
  <c r="B80" i="1"/>
  <c r="D80" i="1" s="1"/>
  <c r="D84" i="2" s="1"/>
  <c r="B81" i="1"/>
  <c r="D81" i="1" s="1"/>
  <c r="D85" i="2" s="1"/>
  <c r="B82" i="1"/>
  <c r="D82" i="1" s="1"/>
  <c r="D86" i="2" s="1"/>
  <c r="B83" i="1"/>
  <c r="D83" i="1" s="1"/>
  <c r="D87" i="2" s="1"/>
  <c r="B84" i="1"/>
  <c r="D84" i="1" s="1"/>
  <c r="D88" i="2" s="1"/>
  <c r="B85" i="1"/>
  <c r="D85" i="1" s="1"/>
  <c r="D89" i="2" s="1"/>
  <c r="B86" i="1"/>
  <c r="D86" i="1" s="1"/>
  <c r="D90" i="2" s="1"/>
  <c r="B87" i="1"/>
  <c r="D87" i="1" s="1"/>
  <c r="D91" i="2" s="1"/>
  <c r="B88" i="1"/>
  <c r="D88" i="1" s="1"/>
  <c r="D92" i="2" s="1"/>
  <c r="B89" i="1"/>
  <c r="D89" i="1" s="1"/>
  <c r="D93" i="2" s="1"/>
  <c r="B90" i="1"/>
  <c r="D90" i="1" s="1"/>
  <c r="D94" i="2" s="1"/>
  <c r="B91" i="1"/>
  <c r="D91" i="1" s="1"/>
  <c r="D95" i="2" s="1"/>
  <c r="B92" i="1"/>
  <c r="D92" i="1" s="1"/>
  <c r="D96" i="2" s="1"/>
  <c r="B93" i="1"/>
  <c r="D93" i="1" s="1"/>
  <c r="D97" i="2" s="1"/>
  <c r="B94" i="1"/>
  <c r="D94" i="1" s="1"/>
  <c r="D98" i="2" s="1"/>
  <c r="B95" i="1"/>
  <c r="D95" i="1" s="1"/>
  <c r="D99" i="2" s="1"/>
  <c r="B96" i="1"/>
  <c r="D96" i="1" s="1"/>
  <c r="D100" i="2" s="1"/>
  <c r="B97" i="1"/>
  <c r="D97" i="1" s="1"/>
  <c r="D101" i="2" s="1"/>
  <c r="B98" i="1"/>
  <c r="D98" i="1" s="1"/>
  <c r="D102" i="2" s="1"/>
  <c r="B99" i="1"/>
  <c r="D99" i="1" s="1"/>
  <c r="D103" i="2" s="1"/>
  <c r="B100" i="1"/>
  <c r="D100" i="1" s="1"/>
  <c r="D104" i="2" s="1"/>
  <c r="B101" i="1"/>
  <c r="D101" i="1" s="1"/>
  <c r="D105" i="2" s="1"/>
  <c r="B102" i="1"/>
  <c r="D102" i="1" s="1"/>
  <c r="D106" i="2" s="1"/>
  <c r="B103" i="1"/>
  <c r="D103" i="1" s="1"/>
  <c r="D107" i="2" s="1"/>
  <c r="B104" i="1"/>
  <c r="D104" i="1" s="1"/>
  <c r="D108" i="2" s="1"/>
  <c r="B105" i="1"/>
  <c r="D105" i="1" s="1"/>
  <c r="D109" i="2" s="1"/>
  <c r="B106" i="1"/>
  <c r="D106" i="1" s="1"/>
  <c r="D110" i="2" s="1"/>
  <c r="B107" i="1"/>
  <c r="D107" i="1" s="1"/>
  <c r="D111" i="2" s="1"/>
  <c r="B108" i="1"/>
  <c r="D108" i="1" s="1"/>
  <c r="D112" i="2" s="1"/>
  <c r="B109" i="1"/>
  <c r="D109" i="1" s="1"/>
  <c r="D113" i="2" s="1"/>
  <c r="B110" i="1"/>
  <c r="D110" i="1" s="1"/>
  <c r="D114" i="2" s="1"/>
  <c r="B111" i="1"/>
  <c r="D111" i="1" s="1"/>
  <c r="D115" i="2" s="1"/>
  <c r="B112" i="1"/>
  <c r="D112" i="1" s="1"/>
  <c r="D116" i="2" s="1"/>
  <c r="B113" i="1"/>
  <c r="D113" i="1" s="1"/>
  <c r="D117" i="2" s="1"/>
  <c r="B114" i="1"/>
  <c r="D114" i="1" s="1"/>
  <c r="D118" i="2" s="1"/>
  <c r="B115" i="1"/>
  <c r="D115" i="1" s="1"/>
  <c r="D119" i="2" s="1"/>
  <c r="B116" i="1"/>
  <c r="D116" i="1" s="1"/>
  <c r="D120" i="2" s="1"/>
  <c r="B117" i="1"/>
  <c r="D117" i="1" s="1"/>
  <c r="D121" i="2" s="1"/>
  <c r="B118" i="1"/>
  <c r="D118" i="1" s="1"/>
  <c r="D122" i="2" s="1"/>
  <c r="B119" i="1"/>
  <c r="D119" i="1" s="1"/>
  <c r="D123" i="2" s="1"/>
  <c r="B120" i="1"/>
  <c r="D120" i="1" s="1"/>
  <c r="D124" i="2" s="1"/>
  <c r="B121" i="1"/>
  <c r="D121" i="1" s="1"/>
  <c r="D125" i="2" s="1"/>
  <c r="B122" i="1"/>
  <c r="D122" i="1" s="1"/>
  <c r="D126" i="2" s="1"/>
  <c r="B123" i="1"/>
  <c r="D123" i="1" s="1"/>
  <c r="D127" i="2" s="1"/>
  <c r="B124" i="1"/>
  <c r="D124" i="1" s="1"/>
  <c r="D128" i="2" s="1"/>
  <c r="B125" i="1"/>
  <c r="D125" i="1" s="1"/>
  <c r="D129" i="2" s="1"/>
  <c r="B126" i="1"/>
  <c r="D126" i="1" s="1"/>
  <c r="D130" i="2" s="1"/>
  <c r="B27" i="1"/>
  <c r="D27" i="1" s="1"/>
  <c r="D31" i="2" s="1"/>
  <c r="C24" i="1"/>
  <c r="B24" i="1"/>
  <c r="B14" i="1"/>
  <c r="B15" i="1" s="1"/>
  <c r="CZ6" i="1"/>
  <c r="E5" i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S5" i="1" s="1"/>
  <c r="T5" i="1" s="1"/>
  <c r="U5" i="1" s="1"/>
  <c r="V5" i="1" s="1"/>
  <c r="W5" i="1" s="1"/>
  <c r="X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AN5" i="1" s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B5" i="1" s="1"/>
  <c r="CC5" i="1" s="1"/>
  <c r="CD5" i="1" s="1"/>
  <c r="CE5" i="1" s="1"/>
  <c r="CF5" i="1" s="1"/>
  <c r="CG5" i="1" s="1"/>
  <c r="CH5" i="1" s="1"/>
  <c r="CI5" i="1" s="1"/>
  <c r="CJ5" i="1" s="1"/>
  <c r="CK5" i="1" s="1"/>
  <c r="CL5" i="1" s="1"/>
  <c r="CM5" i="1" s="1"/>
  <c r="CN5" i="1" s="1"/>
  <c r="CO5" i="1" s="1"/>
  <c r="CP5" i="1" s="1"/>
  <c r="CQ5" i="1" s="1"/>
  <c r="CR5" i="1" s="1"/>
  <c r="CS5" i="1" s="1"/>
  <c r="CT5" i="1" s="1"/>
  <c r="CU5" i="1" s="1"/>
  <c r="CV5" i="1" s="1"/>
  <c r="CW5" i="1" s="1"/>
  <c r="CX5" i="1" s="1"/>
  <c r="CY5" i="1" s="1"/>
  <c r="D5" i="1"/>
  <c r="C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6" i="1"/>
  <c r="CZ7" i="1"/>
  <c r="H11" i="7" l="1"/>
  <c r="H26" i="7"/>
  <c r="B34" i="6"/>
  <c r="B18" i="2"/>
  <c r="B19" i="2" s="1"/>
  <c r="E27" i="1"/>
  <c r="E115" i="1"/>
  <c r="E107" i="1"/>
  <c r="E95" i="1"/>
  <c r="E51" i="1"/>
  <c r="E123" i="1"/>
  <c r="E119" i="1"/>
  <c r="E111" i="1"/>
  <c r="E103" i="1"/>
  <c r="E99" i="1"/>
  <c r="E91" i="1"/>
  <c r="E87" i="1"/>
  <c r="E83" i="1"/>
  <c r="E79" i="1"/>
  <c r="E75" i="1"/>
  <c r="E71" i="1"/>
  <c r="E67" i="1"/>
  <c r="E63" i="1"/>
  <c r="E59" i="1"/>
  <c r="E55" i="1"/>
  <c r="E47" i="1"/>
  <c r="E43" i="1"/>
  <c r="E39" i="1"/>
  <c r="E35" i="1"/>
  <c r="E31" i="1"/>
  <c r="E126" i="1"/>
  <c r="E122" i="1"/>
  <c r="E118" i="1"/>
  <c r="E114" i="1"/>
  <c r="E110" i="1"/>
  <c r="E106" i="1"/>
  <c r="E102" i="1"/>
  <c r="E98" i="1"/>
  <c r="E94" i="1"/>
  <c r="E90" i="1"/>
  <c r="E86" i="1"/>
  <c r="E82" i="1"/>
  <c r="E78" i="1"/>
  <c r="E74" i="1"/>
  <c r="E70" i="1"/>
  <c r="E66" i="1"/>
  <c r="E62" i="1"/>
  <c r="E58" i="1"/>
  <c r="E54" i="1"/>
  <c r="E50" i="1"/>
  <c r="E46" i="1"/>
  <c r="E42" i="1"/>
  <c r="E38" i="1"/>
  <c r="E34" i="1"/>
  <c r="E30" i="1"/>
  <c r="E125" i="1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E49" i="1"/>
  <c r="E45" i="1"/>
  <c r="E41" i="1"/>
  <c r="E37" i="1"/>
  <c r="E33" i="1"/>
  <c r="E29" i="1"/>
  <c r="E124" i="1"/>
  <c r="E120" i="1"/>
  <c r="E116" i="1"/>
  <c r="E112" i="1"/>
  <c r="E108" i="1"/>
  <c r="E104" i="1"/>
  <c r="E100" i="1"/>
  <c r="E96" i="1"/>
  <c r="E92" i="1"/>
  <c r="E88" i="1"/>
  <c r="E84" i="1"/>
  <c r="E80" i="1"/>
  <c r="E76" i="1"/>
  <c r="E72" i="1"/>
  <c r="E68" i="1"/>
  <c r="E64" i="1"/>
  <c r="E60" i="1"/>
  <c r="E56" i="1"/>
  <c r="E52" i="1"/>
  <c r="E48" i="1"/>
  <c r="E44" i="1"/>
  <c r="E40" i="1"/>
  <c r="E36" i="1"/>
  <c r="E32" i="1"/>
  <c r="E28" i="1"/>
  <c r="C13" i="1"/>
  <c r="D13" i="1" s="1"/>
  <c r="C15" i="1"/>
  <c r="D15" i="1" s="1"/>
  <c r="C14" i="1"/>
  <c r="D14" i="1" s="1"/>
  <c r="C16" i="1"/>
  <c r="D16" i="1" s="1"/>
  <c r="D9" i="1"/>
  <c r="E9" i="1" s="1"/>
  <c r="F9" i="1" s="1"/>
  <c r="B4" i="1"/>
  <c r="B2" i="1"/>
  <c r="H12" i="5"/>
  <c r="H11" i="5"/>
  <c r="H10" i="5"/>
  <c r="H9" i="5"/>
  <c r="G12" i="5"/>
  <c r="G11" i="5"/>
  <c r="G10" i="5"/>
  <c r="G9" i="5"/>
  <c r="H6" i="5"/>
  <c r="G6" i="5"/>
  <c r="H14" i="7" l="1"/>
  <c r="D18" i="8" s="1"/>
  <c r="B16" i="6"/>
  <c r="B19" i="6" s="1"/>
  <c r="H28" i="7"/>
  <c r="H18" i="7"/>
  <c r="H17" i="7"/>
  <c r="H20" i="7" s="1"/>
  <c r="B14" i="7"/>
  <c r="B15" i="7" s="1"/>
  <c r="E31" i="2"/>
  <c r="E32" i="2"/>
  <c r="E36" i="2"/>
  <c r="E40" i="2"/>
  <c r="E44" i="2"/>
  <c r="E48" i="2"/>
  <c r="E52" i="2"/>
  <c r="E56" i="2"/>
  <c r="E60" i="2"/>
  <c r="E64" i="2"/>
  <c r="E68" i="2"/>
  <c r="E72" i="2"/>
  <c r="E76" i="2"/>
  <c r="E80" i="2"/>
  <c r="E84" i="2"/>
  <c r="E88" i="2"/>
  <c r="E92" i="2"/>
  <c r="E96" i="2"/>
  <c r="E100" i="2"/>
  <c r="E104" i="2"/>
  <c r="E108" i="2"/>
  <c r="E112" i="2"/>
  <c r="E116" i="2"/>
  <c r="E120" i="2"/>
  <c r="E124" i="2"/>
  <c r="E128" i="2"/>
  <c r="E33" i="2"/>
  <c r="E37" i="2"/>
  <c r="E41" i="2"/>
  <c r="E45" i="2"/>
  <c r="E49" i="2"/>
  <c r="E53" i="2"/>
  <c r="E57" i="2"/>
  <c r="E61" i="2"/>
  <c r="E65" i="2"/>
  <c r="E69" i="2"/>
  <c r="E73" i="2"/>
  <c r="E77" i="2"/>
  <c r="E81" i="2"/>
  <c r="E85" i="2"/>
  <c r="E89" i="2"/>
  <c r="E93" i="2"/>
  <c r="E97" i="2"/>
  <c r="E101" i="2"/>
  <c r="E105" i="2"/>
  <c r="E109" i="2"/>
  <c r="E113" i="2"/>
  <c r="E117" i="2"/>
  <c r="E121" i="2"/>
  <c r="E125" i="2"/>
  <c r="E129" i="2"/>
  <c r="E34" i="2"/>
  <c r="E38" i="2"/>
  <c r="E42" i="2"/>
  <c r="E46" i="2"/>
  <c r="E50" i="2"/>
  <c r="E54" i="2"/>
  <c r="E58" i="2"/>
  <c r="E62" i="2"/>
  <c r="E66" i="2"/>
  <c r="E70" i="2"/>
  <c r="E74" i="2"/>
  <c r="E78" i="2"/>
  <c r="E82" i="2"/>
  <c r="E86" i="2"/>
  <c r="E90" i="2"/>
  <c r="E94" i="2"/>
  <c r="E98" i="2"/>
  <c r="E102" i="2"/>
  <c r="E106" i="2"/>
  <c r="E110" i="2"/>
  <c r="E114" i="2"/>
  <c r="E118" i="2"/>
  <c r="E122" i="2"/>
  <c r="E126" i="2"/>
  <c r="E130" i="2"/>
  <c r="E35" i="2"/>
  <c r="E39" i="2"/>
  <c r="E43" i="2"/>
  <c r="E47" i="2"/>
  <c r="E51" i="2"/>
  <c r="E55" i="2"/>
  <c r="E59" i="2"/>
  <c r="E63" i="2"/>
  <c r="E67" i="2"/>
  <c r="E71" i="2"/>
  <c r="E75" i="2"/>
  <c r="E79" i="2"/>
  <c r="E83" i="2"/>
  <c r="E87" i="2"/>
  <c r="E91" i="2"/>
  <c r="E95" i="2"/>
  <c r="E99" i="2"/>
  <c r="E103" i="2"/>
  <c r="E107" i="2"/>
  <c r="E111" i="2"/>
  <c r="E115" i="2"/>
  <c r="E119" i="2"/>
  <c r="E123" i="2"/>
  <c r="E127" i="2"/>
  <c r="H3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2" i="5"/>
  <c r="H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2" i="5"/>
  <c r="B47" i="4"/>
  <c r="B43" i="4"/>
  <c r="B44" i="4"/>
  <c r="B45" i="4"/>
  <c r="B42" i="4"/>
  <c r="E68" i="4"/>
  <c r="D66" i="4"/>
  <c r="E67" i="4"/>
  <c r="F63" i="4"/>
  <c r="F62" i="4"/>
  <c r="F61" i="4"/>
  <c r="F60" i="4"/>
  <c r="E63" i="4"/>
  <c r="E61" i="4"/>
  <c r="E62" i="4"/>
  <c r="E60" i="4"/>
  <c r="D63" i="4"/>
  <c r="D61" i="4"/>
  <c r="D62" i="4"/>
  <c r="D60" i="4"/>
  <c r="I47" i="4"/>
  <c r="I42" i="4"/>
  <c r="I43" i="4"/>
  <c r="I44" i="4"/>
  <c r="I45" i="4"/>
  <c r="I46" i="4"/>
  <c r="I41" i="4"/>
  <c r="H46" i="4"/>
  <c r="H43" i="4"/>
  <c r="H44" i="4"/>
  <c r="H45" i="4" s="1"/>
  <c r="H42" i="4"/>
  <c r="H41" i="4"/>
  <c r="D56" i="4"/>
  <c r="D53" i="4"/>
  <c r="D50" i="4"/>
  <c r="D49" i="4"/>
  <c r="E42" i="4"/>
  <c r="F42" i="4"/>
  <c r="G42" i="4"/>
  <c r="E43" i="4"/>
  <c r="F43" i="4"/>
  <c r="G43" i="4"/>
  <c r="E44" i="4"/>
  <c r="F44" i="4"/>
  <c r="G44" i="4"/>
  <c r="E45" i="4"/>
  <c r="F45" i="4"/>
  <c r="G45" i="4"/>
  <c r="E46" i="4"/>
  <c r="F46" i="4"/>
  <c r="G46" i="4"/>
  <c r="F41" i="4"/>
  <c r="G41" i="4"/>
  <c r="E41" i="4"/>
  <c r="D47" i="4"/>
  <c r="D42" i="4"/>
  <c r="D43" i="4"/>
  <c r="D44" i="4"/>
  <c r="D45" i="4"/>
  <c r="D46" i="4"/>
  <c r="D41" i="4"/>
  <c r="E30" i="4"/>
  <c r="D28" i="4"/>
  <c r="E29" i="4"/>
  <c r="F23" i="4"/>
  <c r="F24" i="4"/>
  <c r="F25" i="4"/>
  <c r="F22" i="4"/>
  <c r="E25" i="4"/>
  <c r="D25" i="4"/>
  <c r="E24" i="4"/>
  <c r="D24" i="4"/>
  <c r="E23" i="4"/>
  <c r="D23" i="4"/>
  <c r="E22" i="4"/>
  <c r="D22" i="4"/>
  <c r="I15" i="4"/>
  <c r="I14" i="4"/>
  <c r="I10" i="4"/>
  <c r="I11" i="4"/>
  <c r="I12" i="4"/>
  <c r="I13" i="4"/>
  <c r="I9" i="4"/>
  <c r="H14" i="4"/>
  <c r="H10" i="4"/>
  <c r="H11" i="4"/>
  <c r="H12" i="4"/>
  <c r="H13" i="4"/>
  <c r="H9" i="4"/>
  <c r="D18" i="4"/>
  <c r="G10" i="4"/>
  <c r="G11" i="4"/>
  <c r="G12" i="4"/>
  <c r="G13" i="4"/>
  <c r="G9" i="4"/>
  <c r="D17" i="4"/>
  <c r="F13" i="4"/>
  <c r="F10" i="4"/>
  <c r="F9" i="4"/>
  <c r="F11" i="4"/>
  <c r="F12" i="4"/>
  <c r="E15" i="4"/>
  <c r="E10" i="4"/>
  <c r="E11" i="4"/>
  <c r="E12" i="4"/>
  <c r="E13" i="4"/>
  <c r="E14" i="4"/>
  <c r="E9" i="4"/>
  <c r="G13" i="7" l="1"/>
  <c r="G14" i="7" s="1"/>
  <c r="G24" i="7"/>
  <c r="C15" i="7"/>
  <c r="H21" i="7"/>
  <c r="H22" i="7"/>
  <c r="H30" i="2"/>
  <c r="I33" i="4"/>
  <c r="G26" i="7" l="1"/>
  <c r="I7" i="7"/>
  <c r="G15" i="7"/>
  <c r="G31" i="7"/>
  <c r="C27" i="2"/>
  <c r="B27" i="2"/>
  <c r="B5" i="2"/>
  <c r="B4" i="3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B940" i="3" s="1"/>
  <c r="B941" i="3" s="1"/>
  <c r="B942" i="3" s="1"/>
  <c r="B943" i="3" s="1"/>
  <c r="B944" i="3" s="1"/>
  <c r="B945" i="3" s="1"/>
  <c r="B946" i="3" s="1"/>
  <c r="B947" i="3" s="1"/>
  <c r="B948" i="3" s="1"/>
  <c r="B949" i="3" s="1"/>
  <c r="B950" i="3" s="1"/>
  <c r="B951" i="3" s="1"/>
  <c r="B952" i="3" s="1"/>
  <c r="B953" i="3" s="1"/>
  <c r="B954" i="3" s="1"/>
  <c r="B955" i="3" s="1"/>
  <c r="B956" i="3" s="1"/>
  <c r="B957" i="3" s="1"/>
  <c r="B958" i="3" s="1"/>
  <c r="B959" i="3" s="1"/>
  <c r="B960" i="3" s="1"/>
  <c r="B961" i="3" s="1"/>
  <c r="B962" i="3" s="1"/>
  <c r="B963" i="3" s="1"/>
  <c r="B964" i="3" s="1"/>
  <c r="B965" i="3" s="1"/>
  <c r="B966" i="3" s="1"/>
  <c r="B967" i="3" s="1"/>
  <c r="B968" i="3" s="1"/>
  <c r="B969" i="3" s="1"/>
  <c r="B970" i="3" s="1"/>
  <c r="B971" i="3" s="1"/>
  <c r="B972" i="3" s="1"/>
  <c r="B973" i="3" s="1"/>
  <c r="B974" i="3" s="1"/>
  <c r="B975" i="3" s="1"/>
  <c r="B976" i="3" s="1"/>
  <c r="B977" i="3" s="1"/>
  <c r="B978" i="3" s="1"/>
  <c r="B979" i="3" s="1"/>
  <c r="B980" i="3" s="1"/>
  <c r="B981" i="3" s="1"/>
  <c r="B982" i="3" s="1"/>
  <c r="B983" i="3" s="1"/>
  <c r="B984" i="3" s="1"/>
  <c r="B985" i="3" s="1"/>
  <c r="B986" i="3" s="1"/>
  <c r="B987" i="3" s="1"/>
  <c r="B988" i="3" s="1"/>
  <c r="B989" i="3" s="1"/>
  <c r="B990" i="3" s="1"/>
  <c r="B991" i="3" s="1"/>
  <c r="B992" i="3" s="1"/>
  <c r="B993" i="3" s="1"/>
  <c r="B994" i="3" s="1"/>
  <c r="B995" i="3" s="1"/>
  <c r="B996" i="3" s="1"/>
  <c r="B997" i="3" s="1"/>
  <c r="B998" i="3" s="1"/>
  <c r="B999" i="3" s="1"/>
  <c r="B1000" i="3" s="1"/>
  <c r="B1001" i="3" s="1"/>
  <c r="B1002" i="3" s="1"/>
  <c r="P1" i="8" l="1"/>
  <c r="I14" i="7"/>
  <c r="D19" i="8"/>
  <c r="G28" i="7"/>
  <c r="I15" i="7"/>
  <c r="D21" i="8"/>
  <c r="G29" i="7"/>
  <c r="A23" i="2"/>
  <c r="A24" i="2"/>
  <c r="A25" i="2"/>
  <c r="C17" i="5"/>
  <c r="B3" i="5"/>
  <c r="B4" i="5" s="1"/>
  <c r="A3" i="5"/>
  <c r="C62" i="4"/>
  <c r="C61" i="4"/>
  <c r="C60" i="4"/>
  <c r="C24" i="4"/>
  <c r="C23" i="4"/>
  <c r="C22" i="4"/>
  <c r="D15" i="4"/>
  <c r="B5" i="5" l="1"/>
  <c r="A5" i="5"/>
  <c r="A4" i="5"/>
  <c r="G18" i="7" l="1"/>
  <c r="G17" i="7"/>
  <c r="G20" i="7" s="1"/>
  <c r="B6" i="5"/>
  <c r="A6" i="5"/>
  <c r="G22" i="7" l="1"/>
  <c r="I17" i="7"/>
  <c r="G21" i="7"/>
  <c r="G35" i="7" s="1"/>
  <c r="I18" i="7"/>
  <c r="B7" i="5"/>
  <c r="A7" i="5"/>
  <c r="B8" i="5" l="1"/>
  <c r="A8" i="5"/>
  <c r="Q29" i="4" l="1"/>
  <c r="B9" i="5"/>
  <c r="A9" i="5"/>
  <c r="B10" i="5" l="1"/>
  <c r="A10" i="5"/>
  <c r="B11" i="5" l="1"/>
  <c r="A11" i="5"/>
  <c r="B12" i="5" l="1"/>
  <c r="A12" i="5"/>
  <c r="B13" i="5" l="1"/>
  <c r="A13" i="5"/>
  <c r="B14" i="5" l="1"/>
  <c r="A14" i="5"/>
  <c r="B15" i="5" l="1"/>
  <c r="A16" i="5" s="1"/>
  <c r="A15" i="5"/>
  <c r="I71" i="4" l="1"/>
  <c r="C32" i="2" l="1"/>
  <c r="C33" i="2" s="1"/>
  <c r="C34" i="2" l="1"/>
  <c r="C35" i="2" l="1"/>
  <c r="C36" i="2" l="1"/>
  <c r="C37" i="2" l="1"/>
  <c r="C38" i="2" l="1"/>
  <c r="C39" i="2" l="1"/>
  <c r="C40" i="2" l="1"/>
  <c r="C41" i="2" l="1"/>
  <c r="C42" i="2" l="1"/>
  <c r="C43" i="2" l="1"/>
  <c r="C44" i="2" l="1"/>
  <c r="C45" i="2" l="1"/>
  <c r="C46" i="2" l="1"/>
  <c r="C47" i="2" l="1"/>
  <c r="C48" i="2" l="1"/>
  <c r="C49" i="2" l="1"/>
  <c r="C50" i="2" l="1"/>
  <c r="C51" i="2" l="1"/>
  <c r="C52" i="2" l="1"/>
  <c r="C53" i="2" l="1"/>
  <c r="C54" i="2" l="1"/>
  <c r="C55" i="2" l="1"/>
  <c r="C56" i="2" l="1"/>
  <c r="C57" i="2" l="1"/>
  <c r="C58" i="2" l="1"/>
  <c r="C59" i="2" l="1"/>
  <c r="C60" i="2" l="1"/>
  <c r="C61" i="2" l="1"/>
  <c r="C62" i="2" l="1"/>
  <c r="C63" i="2" l="1"/>
  <c r="C64" i="2" l="1"/>
  <c r="C65" i="2" l="1"/>
  <c r="C66" i="2" l="1"/>
  <c r="C67" i="2" l="1"/>
  <c r="C68" i="2" l="1"/>
  <c r="C69" i="2" l="1"/>
  <c r="C70" i="2" l="1"/>
  <c r="C71" i="2" l="1"/>
  <c r="C72" i="2" l="1"/>
  <c r="C73" i="2" l="1"/>
  <c r="C74" i="2" l="1"/>
  <c r="C75" i="2" l="1"/>
  <c r="C76" i="2" l="1"/>
  <c r="C77" i="2" l="1"/>
  <c r="C78" i="2" l="1"/>
  <c r="C79" i="2" l="1"/>
  <c r="C80" i="2" l="1"/>
  <c r="C81" i="2" l="1"/>
  <c r="C82" i="2" l="1"/>
  <c r="C83" i="2" l="1"/>
  <c r="C84" i="2" l="1"/>
  <c r="C85" i="2" l="1"/>
  <c r="C86" i="2" l="1"/>
  <c r="C87" i="2" l="1"/>
  <c r="C88" i="2" l="1"/>
  <c r="C89" i="2" l="1"/>
  <c r="C90" i="2" l="1"/>
  <c r="C91" i="2" l="1"/>
  <c r="C92" i="2" l="1"/>
  <c r="C93" i="2" l="1"/>
  <c r="C94" i="2" l="1"/>
  <c r="C95" i="2" l="1"/>
  <c r="C96" i="2" l="1"/>
  <c r="C97" i="2" l="1"/>
  <c r="C98" i="2" l="1"/>
  <c r="C99" i="2" l="1"/>
  <c r="C100" i="2" l="1"/>
  <c r="C101" i="2" l="1"/>
  <c r="C102" i="2" l="1"/>
  <c r="C103" i="2" l="1"/>
  <c r="C104" i="2" l="1"/>
  <c r="C105" i="2" l="1"/>
  <c r="C106" i="2" l="1"/>
  <c r="C107" i="2" l="1"/>
  <c r="C108" i="2" l="1"/>
  <c r="C109" i="2" l="1"/>
  <c r="C110" i="2" l="1"/>
  <c r="C111" i="2" l="1"/>
  <c r="C112" i="2" l="1"/>
  <c r="C113" i="2" l="1"/>
  <c r="C114" i="2" l="1"/>
  <c r="C115" i="2" l="1"/>
  <c r="C116" i="2" l="1"/>
  <c r="C117" i="2" l="1"/>
  <c r="C118" i="2" l="1"/>
  <c r="C119" i="2" l="1"/>
  <c r="C120" i="2" l="1"/>
  <c r="C121" i="2" l="1"/>
  <c r="C122" i="2" l="1"/>
  <c r="C123" i="2" l="1"/>
  <c r="C124" i="2" l="1"/>
  <c r="C125" i="2" l="1"/>
  <c r="C126" i="2" l="1"/>
  <c r="C127" i="2" l="1"/>
  <c r="C128" i="2" l="1"/>
  <c r="C129" i="2" l="1"/>
  <c r="C130" i="2" l="1"/>
  <c r="I26" i="1" l="1"/>
  <c r="C28" i="1"/>
  <c r="A27" i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C29" i="1" l="1"/>
  <c r="C30" i="1" l="1"/>
  <c r="C31" i="1" l="1"/>
  <c r="C32" i="1" l="1"/>
  <c r="C33" i="1" l="1"/>
  <c r="C34" i="1" l="1"/>
  <c r="C35" i="1" l="1"/>
  <c r="C36" i="1" l="1"/>
  <c r="C37" i="1" l="1"/>
  <c r="C38" i="1" l="1"/>
  <c r="C39" i="1" l="1"/>
  <c r="C40" i="1" l="1"/>
  <c r="C41" i="1" l="1"/>
  <c r="C42" i="1" l="1"/>
  <c r="C43" i="1" l="1"/>
  <c r="C44" i="1" l="1"/>
  <c r="C45" i="1" l="1"/>
  <c r="C46" i="1" l="1"/>
  <c r="C47" i="1" l="1"/>
  <c r="C48" i="1" l="1"/>
  <c r="C49" i="1" l="1"/>
  <c r="C50" i="1" l="1"/>
  <c r="C51" i="1" l="1"/>
  <c r="C52" i="1" l="1"/>
  <c r="C53" i="1" l="1"/>
  <c r="C54" i="1" l="1"/>
  <c r="C55" i="1" l="1"/>
  <c r="C56" i="1" l="1"/>
  <c r="C57" i="1" l="1"/>
  <c r="C58" i="1" l="1"/>
  <c r="C59" i="1" l="1"/>
  <c r="C60" i="1" l="1"/>
  <c r="C61" i="1" l="1"/>
  <c r="C62" i="1" l="1"/>
  <c r="C63" i="1" l="1"/>
  <c r="C64" i="1" l="1"/>
  <c r="C65" i="1" l="1"/>
  <c r="C66" i="1" l="1"/>
  <c r="C67" i="1" l="1"/>
  <c r="C68" i="1" l="1"/>
  <c r="C69" i="1" l="1"/>
  <c r="C70" i="1" l="1"/>
  <c r="C71" i="1" l="1"/>
  <c r="C72" i="1" l="1"/>
  <c r="C73" i="1" l="1"/>
  <c r="C74" i="1" l="1"/>
  <c r="C75" i="1" l="1"/>
  <c r="C76" i="1" l="1"/>
  <c r="C77" i="1" l="1"/>
  <c r="C78" i="1" l="1"/>
  <c r="C79" i="1" l="1"/>
  <c r="C80" i="1" l="1"/>
  <c r="C81" i="1" l="1"/>
  <c r="C82" i="1" l="1"/>
  <c r="C83" i="1" l="1"/>
  <c r="C84" i="1" l="1"/>
  <c r="C85" i="1" l="1"/>
  <c r="C86" i="1" l="1"/>
  <c r="C87" i="1" l="1"/>
  <c r="C88" i="1" l="1"/>
  <c r="C89" i="1" l="1"/>
  <c r="C90" i="1" l="1"/>
  <c r="C91" i="1" l="1"/>
  <c r="C92" i="1" l="1"/>
  <c r="C93" i="1" l="1"/>
  <c r="C94" i="1" l="1"/>
  <c r="C95" i="1" l="1"/>
  <c r="C96" i="1" l="1"/>
  <c r="C97" i="1" l="1"/>
  <c r="C98" i="1" l="1"/>
  <c r="C99" i="1" l="1"/>
  <c r="C100" i="1" l="1"/>
  <c r="C101" i="1" l="1"/>
  <c r="C102" i="1" l="1"/>
  <c r="C103" i="1" l="1"/>
  <c r="C104" i="1" l="1"/>
  <c r="C105" i="1" l="1"/>
  <c r="C106" i="1" l="1"/>
  <c r="C107" i="1" l="1"/>
  <c r="C108" i="1" l="1"/>
  <c r="C109" i="1" l="1"/>
  <c r="C110" i="1" l="1"/>
  <c r="C111" i="1" l="1"/>
  <c r="C112" i="1" l="1"/>
  <c r="C113" i="1" l="1"/>
  <c r="C114" i="1" l="1"/>
  <c r="C115" i="1" l="1"/>
  <c r="C116" i="1" l="1"/>
  <c r="C117" i="1" l="1"/>
  <c r="C118" i="1" l="1"/>
  <c r="C119" i="1" l="1"/>
  <c r="C120" i="1" l="1"/>
  <c r="C121" i="1" l="1"/>
  <c r="C122" i="1" l="1"/>
  <c r="C123" i="1" l="1"/>
  <c r="C124" i="1" l="1"/>
  <c r="C125" i="1" l="1"/>
  <c r="C126" i="1" l="1"/>
  <c r="H26" i="1" s="1"/>
  <c r="H3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Q29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Autore:</t>
        </r>
        <r>
          <rPr>
            <sz val="8"/>
            <color indexed="81"/>
            <rFont val="Tahoma"/>
            <family val="2"/>
          </rPr>
          <t xml:space="preserve">
test chi-quadro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I26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Autore:</t>
        </r>
        <r>
          <rPr>
            <sz val="8"/>
            <color indexed="81"/>
            <rFont val="Tahoma"/>
            <family val="2"/>
          </rPr>
          <t xml:space="preserve">
da non cancellare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tc={1D683548-8F97-4D7F-88F6-F69511DC0FE4}</author>
    <author>tc={6F5929A2-1DE7-446D-8763-140CCE5C0D47}</author>
    <author>tc={F16C76CF-586E-43A7-B391-B680B819262B}</author>
    <author>tc={D95BB571-A133-44F5-8728-DBC60E0B1507}</author>
  </authors>
  <commentList>
    <comment ref="A5" authorId="0" shapeId="0" xr:uid="{1D683548-8F97-4D7F-88F6-F69511DC0FE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Sinistri / premi</t>
      </text>
    </comment>
    <comment ref="A6" authorId="1" shapeId="0" xr:uid="{6F5929A2-1DE7-446D-8763-140CCE5C0D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Spese / premi</t>
      </text>
    </comment>
    <comment ref="A7" authorId="2" shapeId="0" xr:uid="{F16C76CF-586E-43A7-B391-B680B819262B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(sinistri + spese)/premi</t>
      </text>
    </comment>
    <comment ref="G15" authorId="3" shapeId="0" xr:uid="{D95BB571-A133-44F5-8728-DBC60E0B150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SIGMA*0,8</t>
      </text>
    </comment>
  </commentList>
</comments>
</file>

<file path=xl/sharedStrings.xml><?xml version="1.0" encoding="utf-8"?>
<sst xmlns="http://schemas.openxmlformats.org/spreadsheetml/2006/main" count="267" uniqueCount="184">
  <si>
    <t xml:space="preserve">POISSON </t>
  </si>
  <si>
    <t>NUMERO DEI SINISTRI (n)</t>
  </si>
  <si>
    <t>PROB(N=n)</t>
  </si>
  <si>
    <t>PROB(N&lt;=n)</t>
  </si>
  <si>
    <t>NUM.CASUALE [0,1]</t>
  </si>
  <si>
    <t>LOGNORMALE</t>
  </si>
  <si>
    <t>SIM.NUM.SINISTRI</t>
  </si>
  <si>
    <t>NUM.SINISTRI SIMULATO</t>
  </si>
  <si>
    <t>DANNO AGGREGATO</t>
  </si>
  <si>
    <t>IMPORTO Yi</t>
  </si>
  <si>
    <t>LAMBDA (PTF)</t>
  </si>
  <si>
    <t>NUM. RISCHI ANNO</t>
  </si>
  <si>
    <t>BINOMIALE NEGATIVA</t>
  </si>
  <si>
    <t>Simulazione</t>
  </si>
  <si>
    <t>Poisson</t>
  </si>
  <si>
    <t>Bin-Neg</t>
  </si>
  <si>
    <t>alpha(PTF)</t>
  </si>
  <si>
    <t>tau(PTF)</t>
  </si>
  <si>
    <t>N°Sim</t>
  </si>
  <si>
    <t>MEDIA</t>
  </si>
  <si>
    <t>VARIANZA</t>
  </si>
  <si>
    <t>PERCENTILE</t>
  </si>
  <si>
    <t>ANALITICO</t>
  </si>
  <si>
    <t>SIMULATA</t>
  </si>
  <si>
    <t>Binomiale Negativa</t>
  </si>
  <si>
    <t>E(N,R)</t>
  </si>
  <si>
    <t>Var(N,R)</t>
  </si>
  <si>
    <t>E(N,PTF)</t>
  </si>
  <si>
    <t>Var(N,PTF)</t>
  </si>
  <si>
    <t>alpha</t>
  </si>
  <si>
    <t>tau</t>
  </si>
  <si>
    <t>Consideriamo la distribuzione del numero dei sinistri per un portafoglio R.C.A.</t>
  </si>
  <si>
    <t>1) Poisson</t>
  </si>
  <si>
    <t>Numero sinistri</t>
  </si>
  <si>
    <t>Numero polizze</t>
  </si>
  <si>
    <t>Frequenze relative</t>
  </si>
  <si>
    <t>Media</t>
  </si>
  <si>
    <t>Varianza</t>
  </si>
  <si>
    <t xml:space="preserve">F.R. Poisson
</t>
  </si>
  <si>
    <t>F.A. Poisson</t>
  </si>
  <si>
    <t>&gt;4</t>
  </si>
  <si>
    <t>Totale</t>
  </si>
  <si>
    <t>Chi-quadro</t>
  </si>
  <si>
    <t>&gt;=3</t>
  </si>
  <si>
    <r>
      <t>H</t>
    </r>
    <r>
      <rPr>
        <b/>
        <vertAlign val="subscript"/>
        <sz val="12"/>
        <rFont val="Lucida Sans"/>
        <family val="2"/>
      </rPr>
      <t>0</t>
    </r>
    <r>
      <rPr>
        <b/>
        <sz val="12"/>
        <rFont val="Lucida Sans"/>
        <family val="2"/>
      </rPr>
      <t>: i dati provengono da una popolazione in cui le frequenze sono date dalle p</t>
    </r>
    <r>
      <rPr>
        <b/>
        <vertAlign val="subscript"/>
        <sz val="12"/>
        <rFont val="Lucida Sans"/>
        <family val="2"/>
      </rPr>
      <t>k</t>
    </r>
  </si>
  <si>
    <t>Chi-quadro empirico</t>
  </si>
  <si>
    <t>rifiuto</t>
  </si>
  <si>
    <t>Chi-quadro teorico</t>
  </si>
  <si>
    <t>accetto</t>
  </si>
  <si>
    <r>
      <t>H</t>
    </r>
    <r>
      <rPr>
        <b/>
        <vertAlign val="subscript"/>
        <sz val="12"/>
        <rFont val="Lucida Sans"/>
        <family val="2"/>
      </rPr>
      <t>1</t>
    </r>
    <r>
      <rPr>
        <b/>
        <sz val="12"/>
        <rFont val="Lucida Sans"/>
        <family val="2"/>
      </rPr>
      <t>: i dati provengono da un'altra popolazione</t>
    </r>
  </si>
  <si>
    <t xml:space="preserve">Test </t>
  </si>
  <si>
    <t>1) Binomiale Negativa</t>
  </si>
  <si>
    <t>F.R. Bin-Neg</t>
  </si>
  <si>
    <t>F.A. Bin-Neg</t>
  </si>
  <si>
    <t>CLASSE</t>
  </si>
  <si>
    <t>NUM.SIN.</t>
  </si>
  <si>
    <t>VAL.MEDIO</t>
  </si>
  <si>
    <t>A</t>
  </si>
  <si>
    <t>B</t>
  </si>
  <si>
    <t>OLTRE 4201</t>
  </si>
  <si>
    <t>E(Y)</t>
  </si>
  <si>
    <t>VAR(Y)</t>
  </si>
  <si>
    <t>DS(Y)</t>
  </si>
  <si>
    <t>E(N)</t>
  </si>
  <si>
    <t>VAR(N)</t>
  </si>
  <si>
    <t>DS</t>
  </si>
  <si>
    <t>P-L</t>
  </si>
  <si>
    <t>BN-L</t>
  </si>
  <si>
    <t>B.N.-L</t>
  </si>
  <si>
    <t>LAMBDA (RISCHIO)</t>
  </si>
  <si>
    <t>NUMERO DI ASSICURATI</t>
  </si>
  <si>
    <r>
      <t xml:space="preserve">       </t>
    </r>
    <r>
      <rPr>
        <sz val="14"/>
        <color indexed="20"/>
        <rFont val="Lucida Sans"/>
        <family val="2"/>
      </rPr>
      <t xml:space="preserve">Obiettivo: modellizzare la distribuzione dei dati empirici sia con una </t>
    </r>
    <r>
      <rPr>
        <u/>
        <sz val="14"/>
        <color indexed="20"/>
        <rFont val="Lucida Sans"/>
        <family val="2"/>
      </rPr>
      <t>Poisson</t>
    </r>
    <r>
      <rPr>
        <sz val="14"/>
        <color indexed="20"/>
        <rFont val="Lucida Sans"/>
        <family val="2"/>
      </rPr>
      <t xml:space="preserve"> che con una </t>
    </r>
    <r>
      <rPr>
        <u/>
        <sz val="14"/>
        <color indexed="20"/>
        <rFont val="Lucida Sans"/>
        <family val="2"/>
      </rPr>
      <t>Binomiale Negativa</t>
    </r>
    <r>
      <rPr>
        <sz val="14"/>
        <color indexed="20"/>
        <rFont val="Lucida Sans"/>
        <family val="2"/>
      </rPr>
      <t>, attraverso il metodo dei momenti</t>
    </r>
  </si>
  <si>
    <t>Numero polizze=numero rischio anno</t>
  </si>
  <si>
    <t>E(N)=LAMBDA=10,31%</t>
  </si>
  <si>
    <t>GDL</t>
  </si>
  <si>
    <t>0,1031=ALFA/TAU</t>
  </si>
  <si>
    <t>0,1084=0,1031*(1+1/TAU)</t>
  </si>
  <si>
    <t>p1=p0*(1+alfa-1)/(k*(1+tau))</t>
  </si>
  <si>
    <t>gdl</t>
  </si>
  <si>
    <t>POISSON-LOGN</t>
  </si>
  <si>
    <t>BN-LOGN</t>
  </si>
  <si>
    <t>FISSARE IL NUMERO DI RISCHI ANNO</t>
  </si>
  <si>
    <t>FISSO IL NUMERO DI SIMULAZIONI K</t>
  </si>
  <si>
    <t xml:space="preserve">SIMULARE IL NUMERO DEI SINISTRI ni PER LA STORIA i DOVE i:1,…,K  </t>
  </si>
  <si>
    <t>SIMULARE I SINGOLI IMPORTI DI SINISTRO y1,y2,…,yni</t>
  </si>
  <si>
    <t>SOMMARE I SINGOLI IMPORTI DI SINISTRO DI CUI AL PUNTO 3 si=y1+y2+…+yni</t>
  </si>
  <si>
    <t>RIPETO I PASSI DA 1 A 4 PER IL NUMERO DI SIMULAZIONI K</t>
  </si>
  <si>
    <t>N</t>
  </si>
  <si>
    <t>PR(N=n)</t>
  </si>
  <si>
    <t>N=n</t>
  </si>
  <si>
    <t>PR(N&lt;=n)</t>
  </si>
  <si>
    <t>U(0,1)</t>
  </si>
  <si>
    <t>P-LGN</t>
  </si>
  <si>
    <t>BN-LGN</t>
  </si>
  <si>
    <t>VALORI SIMULATI</t>
  </si>
  <si>
    <t>SCARTI %</t>
  </si>
  <si>
    <t>PERCENTILE 99,5%</t>
  </si>
  <si>
    <t>PREMIO DI TARIFFA DI PTF</t>
  </si>
  <si>
    <t>SCR(FS)</t>
  </si>
  <si>
    <t>SCR(MI,BN-LOGN)</t>
  </si>
  <si>
    <t>PREMIO PURO DI PTF (PP, 75%)</t>
  </si>
  <si>
    <t>PREMIO PURO SINGOLO RISCHIO</t>
  </si>
  <si>
    <t>SPESE DI GESTIONE DI PTF</t>
  </si>
  <si>
    <t>SCR(MI,LOGN)</t>
  </si>
  <si>
    <t>VaR(99,5%,S(PTF)+Eptf, BN-LOGN)</t>
  </si>
  <si>
    <t>VaR(99,5%,S(PTF)+Eptf,LOGN)</t>
  </si>
  <si>
    <t>VaR(99,5%,S(PTF), BN-LOGN)</t>
  </si>
  <si>
    <t>VaR(99,5%,S(PTF), LOGN)</t>
  </si>
  <si>
    <t>COC(MI,BN-LOGN)</t>
  </si>
  <si>
    <t>COC(FS)</t>
  </si>
  <si>
    <t>COC(MI,LOGN)</t>
  </si>
  <si>
    <t>RORAC(MI,BN-LOGN)</t>
  </si>
  <si>
    <t>RORAC(FS)</t>
  </si>
  <si>
    <t>RORAC(MI,LOGN)</t>
  </si>
  <si>
    <t>INDICE DI FLUTTUAZIONE</t>
  </si>
  <si>
    <t>INDICE DI RISCHIO</t>
  </si>
  <si>
    <t>INDICE DI STABILITA' RELATIVA</t>
  </si>
  <si>
    <t>W (FONDI PROPRI)</t>
  </si>
  <si>
    <t>GUADAGNO ATTESO DI PORTAFOGLIO (m)</t>
  </si>
  <si>
    <t>PROBABILITA' DI ROVINA PR(S&gt;W+PE+m)</t>
  </si>
  <si>
    <t>W+PE+m</t>
  </si>
  <si>
    <t>PREMIO EQUO DI PORTAFOGLIO</t>
  </si>
  <si>
    <t>PREMIO EQUO SINGOLO RISCHIO</t>
  </si>
  <si>
    <t>ALFA</t>
  </si>
  <si>
    <t>SOLVENCY RATIO</t>
  </si>
  <si>
    <t>SIMULATIVO</t>
  </si>
  <si>
    <t>CV(FS)</t>
  </si>
  <si>
    <t>CV(S+E,MI(BN-LOGN))</t>
  </si>
  <si>
    <t>DS(S+E,MI(BN-LOGN))</t>
  </si>
  <si>
    <t>E(S+E,MI(BN-LOGN))</t>
  </si>
  <si>
    <t>CV(S+E,MI(LOGN))</t>
  </si>
  <si>
    <t>PERCENTILE DI S</t>
  </si>
  <si>
    <t>1-ALFA</t>
  </si>
  <si>
    <t>PROBABILITA' ANNUALE DI PERDITA PR(S&gt;PE+m)</t>
  </si>
  <si>
    <t>PE+m</t>
  </si>
  <si>
    <t>BETA</t>
  </si>
  <si>
    <t>1-BETA</t>
  </si>
  <si>
    <t>PR(X&gt;W+PE+m)&lt;=</t>
  </si>
  <si>
    <t>PRIORITA' GLOBALE L</t>
  </si>
  <si>
    <t>LOSS RATIO</t>
  </si>
  <si>
    <t>COMBINED RATIO</t>
  </si>
  <si>
    <t>SPESE DI GESTIONE</t>
  </si>
  <si>
    <t>PREMI DI TARIFFA</t>
  </si>
  <si>
    <t>EXPENSES RATIO</t>
  </si>
  <si>
    <t>BLOCCO IL COMBINED RATIO AL 100%</t>
  </si>
  <si>
    <t xml:space="preserve">PERCENTILE </t>
  </si>
  <si>
    <t>OBIETTIVO:</t>
  </si>
  <si>
    <t>SINISTRO CA</t>
  </si>
  <si>
    <t>SINISTRO CR</t>
  </si>
  <si>
    <t>PREMIO EQUO RIASS.</t>
  </si>
  <si>
    <t>PREMIO PURO RIASS.(PP: 80%)</t>
  </si>
  <si>
    <t>CAR. SPESE RIASSICURATORE</t>
  </si>
  <si>
    <t>PREMIO DI TARIFFA RIASS.</t>
  </si>
  <si>
    <t>NETTO RIASS</t>
  </si>
  <si>
    <t>LORDO RIASS</t>
  </si>
  <si>
    <t>RISK FREE RATE (31/12/2019)</t>
  </si>
  <si>
    <t>t</t>
  </si>
  <si>
    <t xml:space="preserve">i (0,t) </t>
  </si>
  <si>
    <t>V.A. RISK FREE (31/12/2019)</t>
  </si>
  <si>
    <t xml:space="preserve">v (0,t) </t>
  </si>
  <si>
    <t>% SMONTAMENTO</t>
  </si>
  <si>
    <t>% SMONTAMENTO RESIDUO</t>
  </si>
  <si>
    <t>SCR LORDO RIASS MI</t>
  </si>
  <si>
    <t>SCR NETTO RIASS MI</t>
  </si>
  <si>
    <t>SCR LORDO RIASS FS</t>
  </si>
  <si>
    <t>SCR NETTO RIASS FS</t>
  </si>
  <si>
    <t>COC al tempo t LR MI</t>
  </si>
  <si>
    <t>COC al tempo t NR MI</t>
  </si>
  <si>
    <t>COC al tempo t LR FS</t>
  </si>
  <si>
    <t>COC al tempo t NR FS</t>
  </si>
  <si>
    <t>COC (LR, MI)</t>
  </si>
  <si>
    <t>COC (NR, MI)</t>
  </si>
  <si>
    <t>COC (LR, FS)</t>
  </si>
  <si>
    <t>COC (NR, FS)</t>
  </si>
  <si>
    <t>SOLVENCY RATIO MI</t>
  </si>
  <si>
    <t>SOLVENCY RATIO FS</t>
  </si>
  <si>
    <t>TOTALE ATTIVO A DISPOSIZIONE (A)</t>
  </si>
  <si>
    <t>TOTALE USCITE (L)</t>
  </si>
  <si>
    <t>A-L</t>
  </si>
  <si>
    <t>1-ALFA (PROBABILITA' DI ROVINA)</t>
  </si>
  <si>
    <t>E' SOLVIBILE?</t>
  </si>
  <si>
    <t>SINISTRI PER LA COMPAGNIA</t>
  </si>
  <si>
    <t>SULLA BASE DEI NOSTRI 1000 SCENARI</t>
  </si>
  <si>
    <t>RORAC(MI,BN-logn)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</si>
</sst>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3" formatCode="_-* #,##0.00_-;\-* #,##0.00_-;_-* &quot;-&quot;??_-;_-@_-"/>
    <numFmt numFmtId="164" formatCode="_-* #,##0.000_-;\-* #,##0.000_-;_-* &quot;-&quot;??_-;_-@_-"/>
    <numFmt numFmtId="165" formatCode="_-* #,##0.0000_-;\-* #,##0.0000_-;_-* &quot;-&quot;??_-;_-@_-"/>
    <numFmt numFmtId="166" formatCode="_-* #,##0_-;\-* #,##0_-;_-* &quot;-&quot;??_-;_-@_-"/>
    <numFmt numFmtId="167" formatCode="_-* #,##0.0_-;\-* #,##0.0_-;_-* &quot;-&quot;??_-;_-@_-"/>
    <numFmt numFmtId="168" formatCode="#,##0.000"/>
    <numFmt numFmtId="169" formatCode="0.000"/>
    <numFmt numFmtId="170" formatCode="0.00000"/>
    <numFmt numFmtId="171" formatCode="0.000000"/>
    <numFmt numFmtId="172" formatCode="0.0000%"/>
    <numFmt numFmtId="173" formatCode="0.0000000%"/>
    <numFmt numFmtId="174" formatCode="0.0000"/>
    <numFmt numFmtId="175" formatCode="_-* #,##0.0000_-;\-* #,##0.0000_-;_-* &quot;-&quot;????_-;_-@_-"/>
    <numFmt numFmtId="176" formatCode="_-* #,##0.00000000000000_-;\-* #,##0.00000000000000_-;_-* &quot;-&quot;??_-;_-@_-"/>
    <numFmt numFmtId="177" formatCode="0.000%"/>
    <numFmt numFmtId="178" formatCode="0.00000%"/>
    <numFmt numFmtId="179" formatCode="_-* #,##0.000000_-;\-* #,##0.000000_-;_-* &quot;-&quot;??_-;_-@_-"/>
    <numFmt numFmtId="180" formatCode="_-* #,##0.000000000000000_-;\-* #,##0.000000000000000_-;_-* &quot;-&quot;??_-;_-@_-"/>
    <numFmt numFmtId="181" formatCode="_-* #,##0.0000000000000000000_-;\-* #,##0.0000000000000000000_-;_-* &quot;-&quot;??_-;_-@_-"/>
    <numFmt numFmtId="182" formatCode="_-* #,##0.00000000000000000000_-;\-* #,##0.00000000000000000000_-;_-* &quot;-&quot;??_-;_-@_-"/>
    <numFmt numFmtId="183" formatCode="_-* #,##0.000000000000000000000_-;\-* #,##0.000000000000000000000_-;_-* &quot;-&quot;??_-;_-@_-"/>
    <numFmt numFmtId="184" formatCode="_-* #,##0.0000000000000000000000_-;\-* #,##0.0000000000000000000000_-;_-* &quot;-&quot;??_-;_-@_-"/>
    <numFmt numFmtId="185" formatCode="0.0%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onstantia"/>
      <family val="1"/>
    </font>
    <font>
      <b/>
      <sz val="12"/>
      <name val="Constantia"/>
      <family val="1"/>
    </font>
    <font>
      <sz val="10"/>
      <name val="Arial"/>
      <family val="2"/>
    </font>
    <font>
      <b/>
      <sz val="11"/>
      <color rgb="FFCC0099"/>
      <name val="Lucida Sans"/>
      <family val="2"/>
    </font>
    <font>
      <sz val="11"/>
      <name val="Lucida Sans"/>
      <family val="2"/>
    </font>
    <font>
      <sz val="14"/>
      <color rgb="FF800080"/>
      <name val="Lucida Sans"/>
      <family val="2"/>
    </font>
    <font>
      <sz val="14"/>
      <name val="Lucida Sans"/>
      <family val="2"/>
    </font>
    <font>
      <sz val="14"/>
      <color indexed="18"/>
      <name val="Lucida Sans"/>
      <family val="2"/>
    </font>
    <font>
      <sz val="14"/>
      <color indexed="20"/>
      <name val="Lucida Sans"/>
      <family val="2"/>
    </font>
    <font>
      <u/>
      <sz val="14"/>
      <color indexed="20"/>
      <name val="Lucida Sans"/>
      <family val="2"/>
    </font>
    <font>
      <b/>
      <sz val="11"/>
      <name val="Lucida Sans"/>
      <family val="2"/>
    </font>
    <font>
      <b/>
      <i/>
      <sz val="11"/>
      <name val="Lucida Sans"/>
      <family val="2"/>
    </font>
    <font>
      <b/>
      <sz val="12"/>
      <name val="Lucida Sans"/>
      <family val="2"/>
    </font>
    <font>
      <b/>
      <vertAlign val="subscript"/>
      <sz val="12"/>
      <name val="Lucida Sans"/>
      <family val="2"/>
    </font>
    <font>
      <sz val="10"/>
      <name val="Lucida Sans"/>
      <family val="2"/>
    </font>
    <font>
      <b/>
      <i/>
      <sz val="12"/>
      <name val="Lucida Sans"/>
      <family val="2"/>
    </font>
    <font>
      <b/>
      <sz val="12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sz val="12"/>
      <color theme="1"/>
      <name val="Constantia"/>
      <family val="1"/>
    </font>
    <font>
      <sz val="14"/>
      <name val="Georgia"/>
      <family val="1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i/>
      <sz val="12"/>
      <color theme="0" tint="-0.499984740745262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256">
    <xf numFmtId="0" fontId="0" fillId="0" borderId="0" xfId="0"/>
    <xf numFmtId="0" fontId="3" fillId="0" borderId="1" xfId="0" applyFont="1" applyBorder="1"/>
    <xf numFmtId="166" fontId="3" fillId="0" borderId="1" xfId="1" applyNumberFormat="1" applyFont="1" applyBorder="1"/>
    <xf numFmtId="0" fontId="3" fillId="0" borderId="0" xfId="0" applyFont="1"/>
    <xf numFmtId="167" fontId="3" fillId="0" borderId="1" xfId="1" applyNumberFormat="1" applyFont="1" applyBorder="1"/>
    <xf numFmtId="0" fontId="4" fillId="0" borderId="1" xfId="0" applyFont="1" applyBorder="1"/>
    <xf numFmtId="164" fontId="3" fillId="0" borderId="0" xfId="1" applyNumberFormat="1" applyFont="1"/>
    <xf numFmtId="169" fontId="0" fillId="0" borderId="0" xfId="0" applyNumberFormat="1"/>
    <xf numFmtId="2" fontId="0" fillId="0" borderId="0" xfId="0" applyNumberFormat="1"/>
    <xf numFmtId="0" fontId="3" fillId="0" borderId="1" xfId="0" applyFont="1" applyBorder="1" applyAlignment="1">
      <alignment horizontal="center"/>
    </xf>
    <xf numFmtId="166" fontId="3" fillId="0" borderId="0" xfId="1" applyNumberFormat="1" applyFont="1"/>
    <xf numFmtId="0" fontId="0" fillId="0" borderId="1" xfId="0" applyBorder="1"/>
    <xf numFmtId="0" fontId="2" fillId="0" borderId="1" xfId="0" applyFont="1" applyBorder="1"/>
    <xf numFmtId="169" fontId="0" fillId="0" borderId="1" xfId="0" applyNumberFormat="1" applyBorder="1"/>
    <xf numFmtId="164" fontId="4" fillId="0" borderId="3" xfId="1" applyNumberFormat="1" applyFont="1" applyBorder="1"/>
    <xf numFmtId="166" fontId="0" fillId="0" borderId="1" xfId="1" applyNumberFormat="1" applyFont="1" applyBorder="1"/>
    <xf numFmtId="165" fontId="0" fillId="0" borderId="1" xfId="1" applyNumberFormat="1" applyFont="1" applyBorder="1"/>
    <xf numFmtId="0" fontId="2" fillId="0" borderId="0" xfId="0" applyFont="1"/>
    <xf numFmtId="0" fontId="0" fillId="0" borderId="6" xfId="0" applyBorder="1"/>
    <xf numFmtId="0" fontId="0" fillId="0" borderId="7" xfId="0" applyBorder="1"/>
    <xf numFmtId="0" fontId="0" fillId="3" borderId="4" xfId="0" applyFill="1" applyBorder="1"/>
    <xf numFmtId="0" fontId="0" fillId="3" borderId="5" xfId="0" applyFill="1" applyBorder="1"/>
    <xf numFmtId="0" fontId="0" fillId="0" borderId="11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6" xfId="0" applyBorder="1"/>
    <xf numFmtId="164" fontId="0" fillId="0" borderId="16" xfId="1" applyNumberFormat="1" applyFont="1" applyBorder="1"/>
    <xf numFmtId="164" fontId="0" fillId="0" borderId="17" xfId="1" applyNumberFormat="1" applyFont="1" applyBorder="1"/>
    <xf numFmtId="10" fontId="0" fillId="0" borderId="1" xfId="2" applyNumberFormat="1" applyFont="1" applyBorder="1"/>
    <xf numFmtId="0" fontId="2" fillId="0" borderId="1" xfId="0" applyFont="1" applyBorder="1" applyAlignment="1">
      <alignment horizontal="center"/>
    </xf>
    <xf numFmtId="0" fontId="6" fillId="2" borderId="0" xfId="3" applyFont="1" applyFill="1" applyAlignment="1">
      <alignment vertical="center"/>
    </xf>
    <xf numFmtId="0" fontId="7" fillId="2" borderId="0" xfId="3" applyFont="1" applyFill="1" applyAlignment="1">
      <alignment vertical="center"/>
    </xf>
    <xf numFmtId="0" fontId="7" fillId="0" borderId="0" xfId="3" applyFont="1" applyAlignment="1">
      <alignment vertical="center"/>
    </xf>
    <xf numFmtId="0" fontId="13" fillId="2" borderId="6" xfId="3" applyFont="1" applyFill="1" applyBorder="1" applyAlignment="1">
      <alignment vertical="center"/>
    </xf>
    <xf numFmtId="0" fontId="13" fillId="2" borderId="7" xfId="3" applyFont="1" applyFill="1" applyBorder="1" applyAlignment="1">
      <alignment vertical="center"/>
    </xf>
    <xf numFmtId="0" fontId="7" fillId="2" borderId="7" xfId="3" applyFont="1" applyFill="1" applyBorder="1" applyAlignment="1">
      <alignment vertical="center"/>
    </xf>
    <xf numFmtId="0" fontId="7" fillId="2" borderId="8" xfId="3" applyFont="1" applyFill="1" applyBorder="1" applyAlignment="1">
      <alignment vertical="center"/>
    </xf>
    <xf numFmtId="0" fontId="7" fillId="2" borderId="11" xfId="3" applyFont="1" applyFill="1" applyBorder="1" applyAlignment="1">
      <alignment vertical="center"/>
    </xf>
    <xf numFmtId="0" fontId="7" fillId="2" borderId="19" xfId="3" applyFont="1" applyFill="1" applyBorder="1" applyAlignment="1">
      <alignment vertical="center"/>
    </xf>
    <xf numFmtId="0" fontId="14" fillId="2" borderId="1" xfId="3" applyFont="1" applyFill="1" applyBorder="1" applyAlignment="1">
      <alignment horizontal="center" vertical="center"/>
    </xf>
    <xf numFmtId="0" fontId="14" fillId="2" borderId="1" xfId="3" applyFont="1" applyFill="1" applyBorder="1" applyAlignment="1">
      <alignment horizontal="center" vertical="center" wrapText="1"/>
    </xf>
    <xf numFmtId="0" fontId="13" fillId="2" borderId="1" xfId="3" applyFont="1" applyFill="1" applyBorder="1" applyAlignment="1">
      <alignment horizontal="center" vertical="center"/>
    </xf>
    <xf numFmtId="166" fontId="7" fillId="4" borderId="1" xfId="4" applyNumberFormat="1" applyFont="1" applyFill="1" applyBorder="1" applyAlignment="1">
      <alignment vertical="center"/>
    </xf>
    <xf numFmtId="172" fontId="7" fillId="2" borderId="1" xfId="5" applyNumberFormat="1" applyFont="1" applyFill="1" applyBorder="1" applyAlignment="1">
      <alignment horizontal="center" vertical="center"/>
    </xf>
    <xf numFmtId="10" fontId="7" fillId="2" borderId="1" xfId="5" applyNumberFormat="1" applyFont="1" applyFill="1" applyBorder="1" applyAlignment="1">
      <alignment horizontal="right" vertical="center"/>
    </xf>
    <xf numFmtId="10" fontId="7" fillId="2" borderId="1" xfId="5" applyNumberFormat="1" applyFont="1" applyFill="1" applyBorder="1" applyAlignment="1">
      <alignment vertical="center"/>
    </xf>
    <xf numFmtId="43" fontId="7" fillId="2" borderId="1" xfId="4" applyFont="1" applyFill="1" applyBorder="1" applyAlignment="1">
      <alignment vertical="center"/>
    </xf>
    <xf numFmtId="166" fontId="13" fillId="2" borderId="1" xfId="3" applyNumberFormat="1" applyFont="1" applyFill="1" applyBorder="1" applyAlignment="1">
      <alignment vertical="center"/>
    </xf>
    <xf numFmtId="165" fontId="13" fillId="2" borderId="1" xfId="3" applyNumberFormat="1" applyFont="1" applyFill="1" applyBorder="1" applyAlignment="1">
      <alignment vertical="center"/>
    </xf>
    <xf numFmtId="10" fontId="13" fillId="2" borderId="1" xfId="5" applyNumberFormat="1" applyFont="1" applyFill="1" applyBorder="1" applyAlignment="1">
      <alignment vertical="center"/>
    </xf>
    <xf numFmtId="0" fontId="13" fillId="2" borderId="0" xfId="3" applyFont="1" applyFill="1" applyAlignment="1">
      <alignment vertical="center"/>
    </xf>
    <xf numFmtId="166" fontId="13" fillId="2" borderId="0" xfId="3" applyNumberFormat="1" applyFont="1" applyFill="1" applyAlignment="1">
      <alignment vertical="center"/>
    </xf>
    <xf numFmtId="0" fontId="15" fillId="2" borderId="0" xfId="3" applyFont="1" applyFill="1" applyAlignment="1">
      <alignment horizontal="center" vertical="center"/>
    </xf>
    <xf numFmtId="166" fontId="7" fillId="2" borderId="1" xfId="4" applyNumberFormat="1" applyFont="1" applyFill="1" applyBorder="1" applyAlignment="1">
      <alignment vertical="center"/>
    </xf>
    <xf numFmtId="165" fontId="7" fillId="2" borderId="1" xfId="3" applyNumberFormat="1" applyFont="1" applyFill="1" applyBorder="1" applyAlignment="1">
      <alignment vertical="center"/>
    </xf>
    <xf numFmtId="166" fontId="7" fillId="2" borderId="0" xfId="3" applyNumberFormat="1" applyFont="1" applyFill="1" applyAlignment="1">
      <alignment vertical="center"/>
    </xf>
    <xf numFmtId="43" fontId="7" fillId="2" borderId="0" xfId="3" applyNumberFormat="1" applyFont="1" applyFill="1" applyAlignment="1">
      <alignment vertical="center"/>
    </xf>
    <xf numFmtId="43" fontId="13" fillId="2" borderId="1" xfId="4" applyFont="1" applyFill="1" applyBorder="1" applyAlignment="1">
      <alignment vertical="center"/>
    </xf>
    <xf numFmtId="169" fontId="13" fillId="2" borderId="1" xfId="3" applyNumberFormat="1" applyFont="1" applyFill="1" applyBorder="1" applyAlignment="1">
      <alignment horizontal="center" vertical="center"/>
    </xf>
    <xf numFmtId="0" fontId="7" fillId="5" borderId="0" xfId="3" applyFont="1" applyFill="1" applyAlignment="1">
      <alignment vertical="center"/>
    </xf>
    <xf numFmtId="0" fontId="17" fillId="2" borderId="0" xfId="3" applyFont="1" applyFill="1" applyAlignment="1">
      <alignment vertical="center"/>
    </xf>
    <xf numFmtId="0" fontId="17" fillId="2" borderId="19" xfId="3" applyFont="1" applyFill="1" applyBorder="1" applyAlignment="1">
      <alignment vertical="center"/>
    </xf>
    <xf numFmtId="0" fontId="15" fillId="2" borderId="0" xfId="3" applyFont="1" applyFill="1" applyAlignment="1">
      <alignment vertical="center"/>
    </xf>
    <xf numFmtId="0" fontId="18" fillId="2" borderId="0" xfId="3" applyFont="1" applyFill="1" applyAlignment="1">
      <alignment horizontal="center" vertical="center"/>
    </xf>
    <xf numFmtId="0" fontId="7" fillId="2" borderId="20" xfId="3" applyFont="1" applyFill="1" applyBorder="1" applyAlignment="1">
      <alignment vertical="center"/>
    </xf>
    <xf numFmtId="0" fontId="7" fillId="2" borderId="21" xfId="3" applyFont="1" applyFill="1" applyBorder="1" applyAlignment="1">
      <alignment vertical="center"/>
    </xf>
    <xf numFmtId="0" fontId="18" fillId="2" borderId="21" xfId="3" applyFont="1" applyFill="1" applyBorder="1" applyAlignment="1">
      <alignment horizontal="center" vertical="center"/>
    </xf>
    <xf numFmtId="0" fontId="15" fillId="2" borderId="21" xfId="3" applyFont="1" applyFill="1" applyBorder="1" applyAlignment="1">
      <alignment horizontal="center" vertical="center"/>
    </xf>
    <xf numFmtId="0" fontId="17" fillId="2" borderId="21" xfId="3" applyFont="1" applyFill="1" applyBorder="1" applyAlignment="1">
      <alignment vertical="center"/>
    </xf>
    <xf numFmtId="0" fontId="17" fillId="2" borderId="22" xfId="3" applyFont="1" applyFill="1" applyBorder="1" applyAlignment="1">
      <alignment vertical="center"/>
    </xf>
    <xf numFmtId="0" fontId="18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17" fillId="0" borderId="0" xfId="3" applyFont="1" applyAlignment="1">
      <alignment vertical="center"/>
    </xf>
    <xf numFmtId="0" fontId="18" fillId="2" borderId="7" xfId="3" applyFont="1" applyFill="1" applyBorder="1" applyAlignment="1">
      <alignment horizontal="center" vertical="center"/>
    </xf>
    <xf numFmtId="0" fontId="15" fillId="2" borderId="7" xfId="3" applyFont="1" applyFill="1" applyBorder="1" applyAlignment="1">
      <alignment horizontal="center" vertical="center"/>
    </xf>
    <xf numFmtId="0" fontId="17" fillId="2" borderId="7" xfId="3" applyFont="1" applyFill="1" applyBorder="1" applyAlignment="1">
      <alignment vertical="center"/>
    </xf>
    <xf numFmtId="0" fontId="17" fillId="2" borderId="8" xfId="3" applyFont="1" applyFill="1" applyBorder="1" applyAlignment="1">
      <alignment vertical="center"/>
    </xf>
    <xf numFmtId="165" fontId="7" fillId="2" borderId="1" xfId="4" applyNumberFormat="1" applyFont="1" applyFill="1" applyBorder="1" applyAlignment="1">
      <alignment vertical="center"/>
    </xf>
    <xf numFmtId="174" fontId="7" fillId="2" borderId="0" xfId="3" applyNumberFormat="1" applyFont="1" applyFill="1" applyAlignment="1">
      <alignment vertical="center"/>
    </xf>
    <xf numFmtId="175" fontId="7" fillId="2" borderId="0" xfId="3" applyNumberFormat="1" applyFont="1" applyFill="1" applyAlignment="1">
      <alignment vertical="center"/>
    </xf>
    <xf numFmtId="165" fontId="13" fillId="2" borderId="1" xfId="4" applyNumberFormat="1" applyFont="1" applyFill="1" applyBorder="1" applyAlignment="1">
      <alignment vertical="center"/>
    </xf>
    <xf numFmtId="166" fontId="13" fillId="2" borderId="1" xfId="4" applyNumberFormat="1" applyFont="1" applyFill="1" applyBorder="1" applyAlignment="1">
      <alignment vertical="center"/>
    </xf>
    <xf numFmtId="43" fontId="13" fillId="2" borderId="1" xfId="3" applyNumberFormat="1" applyFont="1" applyFill="1" applyBorder="1" applyAlignment="1">
      <alignment vertical="center"/>
    </xf>
    <xf numFmtId="0" fontId="13" fillId="2" borderId="0" xfId="3" applyFont="1" applyFill="1" applyAlignment="1">
      <alignment horizontal="center" vertical="center"/>
    </xf>
    <xf numFmtId="172" fontId="7" fillId="2" borderId="19" xfId="5" applyNumberFormat="1" applyFont="1" applyFill="1" applyBorder="1" applyAlignment="1">
      <alignment vertical="center"/>
    </xf>
    <xf numFmtId="2" fontId="15" fillId="2" borderId="1" xfId="3" applyNumberFormat="1" applyFont="1" applyFill="1" applyBorder="1" applyAlignment="1">
      <alignment horizontal="center"/>
    </xf>
    <xf numFmtId="2" fontId="7" fillId="2" borderId="0" xfId="3" applyNumberFormat="1" applyFont="1" applyFill="1" applyAlignment="1">
      <alignment vertical="center"/>
    </xf>
    <xf numFmtId="170" fontId="7" fillId="2" borderId="0" xfId="3" applyNumberFormat="1" applyFont="1" applyFill="1" applyAlignment="1">
      <alignment vertical="center"/>
    </xf>
    <xf numFmtId="0" fontId="5" fillId="0" borderId="0" xfId="3"/>
    <xf numFmtId="0" fontId="19" fillId="2" borderId="0" xfId="3" applyFont="1" applyFill="1" applyAlignment="1">
      <alignment wrapText="1"/>
    </xf>
    <xf numFmtId="0" fontId="5" fillId="2" borderId="0" xfId="3" applyFill="1" applyAlignment="1">
      <alignment wrapText="1"/>
    </xf>
    <xf numFmtId="0" fontId="5" fillId="2" borderId="0" xfId="3" applyFill="1"/>
    <xf numFmtId="0" fontId="19" fillId="2" borderId="0" xfId="3" applyFont="1" applyFill="1"/>
    <xf numFmtId="0" fontId="19" fillId="2" borderId="0" xfId="3" applyFont="1" applyFill="1" applyAlignment="1">
      <alignment horizontal="center"/>
    </xf>
    <xf numFmtId="0" fontId="5" fillId="2" borderId="21" xfId="3" applyFill="1" applyBorder="1"/>
    <xf numFmtId="0" fontId="7" fillId="2" borderId="22" xfId="3" applyFont="1" applyFill="1" applyBorder="1" applyAlignment="1">
      <alignment vertical="center"/>
    </xf>
    <xf numFmtId="0" fontId="22" fillId="0" borderId="1" xfId="3" applyFont="1" applyBorder="1"/>
    <xf numFmtId="0" fontId="22" fillId="0" borderId="0" xfId="3" applyFont="1"/>
    <xf numFmtId="166" fontId="0" fillId="0" borderId="1" xfId="4" applyNumberFormat="1" applyFont="1" applyBorder="1"/>
    <xf numFmtId="0" fontId="5" fillId="0" borderId="1" xfId="3" applyBorder="1"/>
    <xf numFmtId="166" fontId="0" fillId="0" borderId="0" xfId="4" applyNumberFormat="1" applyFont="1"/>
    <xf numFmtId="10" fontId="0" fillId="0" borderId="0" xfId="5" applyNumberFormat="1" applyFont="1"/>
    <xf numFmtId="166" fontId="5" fillId="0" borderId="1" xfId="4" applyNumberFormat="1" applyFont="1" applyBorder="1"/>
    <xf numFmtId="0" fontId="5" fillId="3" borderId="1" xfId="3" applyFill="1" applyBorder="1"/>
    <xf numFmtId="43" fontId="0" fillId="0" borderId="0" xfId="4" applyFont="1"/>
    <xf numFmtId="2" fontId="3" fillId="0" borderId="1" xfId="0" applyNumberFormat="1" applyFont="1" applyBorder="1"/>
    <xf numFmtId="0" fontId="2" fillId="3" borderId="1" xfId="0" applyFont="1" applyFill="1" applyBorder="1"/>
    <xf numFmtId="43" fontId="0" fillId="0" borderId="0" xfId="1" applyFont="1"/>
    <xf numFmtId="2" fontId="4" fillId="0" borderId="1" xfId="0" applyNumberFormat="1" applyFont="1" applyBorder="1"/>
    <xf numFmtId="167" fontId="0" fillId="0" borderId="1" xfId="1" applyNumberFormat="1" applyFont="1" applyBorder="1"/>
    <xf numFmtId="165" fontId="0" fillId="3" borderId="1" xfId="1" applyNumberFormat="1" applyFont="1" applyFill="1" applyBorder="1"/>
    <xf numFmtId="167" fontId="0" fillId="0" borderId="0" xfId="1" applyNumberFormat="1" applyFont="1"/>
    <xf numFmtId="167" fontId="3" fillId="0" borderId="0" xfId="1" applyNumberFormat="1" applyFont="1"/>
    <xf numFmtId="167" fontId="3" fillId="0" borderId="1" xfId="1" applyNumberFormat="1" applyFont="1" applyBorder="1" applyAlignment="1">
      <alignment horizontal="center"/>
    </xf>
    <xf numFmtId="167" fontId="4" fillId="0" borderId="3" xfId="1" applyNumberFormat="1" applyFont="1" applyBorder="1"/>
    <xf numFmtId="167" fontId="4" fillId="0" borderId="1" xfId="1" applyNumberFormat="1" applyFont="1" applyBorder="1"/>
    <xf numFmtId="167" fontId="2" fillId="3" borderId="1" xfId="1" applyNumberFormat="1" applyFont="1" applyFill="1" applyBorder="1"/>
    <xf numFmtId="166" fontId="2" fillId="0" borderId="1" xfId="1" applyNumberFormat="1" applyFont="1" applyBorder="1" applyAlignment="1">
      <alignment horizontal="center"/>
    </xf>
    <xf numFmtId="10" fontId="0" fillId="0" borderId="0" xfId="2" applyNumberFormat="1" applyFont="1"/>
    <xf numFmtId="167" fontId="23" fillId="3" borderId="1" xfId="1" applyNumberFormat="1" applyFont="1" applyFill="1" applyBorder="1"/>
    <xf numFmtId="0" fontId="0" fillId="2" borderId="1" xfId="0" applyFill="1" applyBorder="1"/>
    <xf numFmtId="166" fontId="0" fillId="3" borderId="1" xfId="0" applyNumberFormat="1" applyFill="1" applyBorder="1"/>
    <xf numFmtId="166" fontId="0" fillId="3" borderId="1" xfId="1" applyNumberFormat="1" applyFont="1" applyFill="1" applyBorder="1"/>
    <xf numFmtId="176" fontId="0" fillId="0" borderId="0" xfId="1" applyNumberFormat="1" applyFont="1"/>
    <xf numFmtId="43" fontId="3" fillId="0" borderId="1" xfId="1" applyFont="1" applyBorder="1"/>
    <xf numFmtId="174" fontId="0" fillId="4" borderId="1" xfId="0" applyNumberFormat="1" applyFill="1" applyBorder="1"/>
    <xf numFmtId="171" fontId="0" fillId="4" borderId="1" xfId="0" applyNumberFormat="1" applyFill="1" applyBorder="1"/>
    <xf numFmtId="2" fontId="3" fillId="4" borderId="1" xfId="0" applyNumberFormat="1" applyFont="1" applyFill="1" applyBorder="1"/>
    <xf numFmtId="166" fontId="3" fillId="4" borderId="1" xfId="0" applyNumberFormat="1" applyFont="1" applyFill="1" applyBorder="1"/>
    <xf numFmtId="167" fontId="3" fillId="4" borderId="1" xfId="1" applyNumberFormat="1" applyFont="1" applyFill="1" applyBorder="1"/>
    <xf numFmtId="168" fontId="22" fillId="4" borderId="1" xfId="3" applyNumberFormat="1" applyFont="1" applyFill="1" applyBorder="1" applyAlignment="1">
      <alignment horizontal="center" vertical="center"/>
    </xf>
    <xf numFmtId="169" fontId="0" fillId="4" borderId="1" xfId="0" applyNumberFormat="1" applyFill="1" applyBorder="1"/>
    <xf numFmtId="43" fontId="0" fillId="4" borderId="1" xfId="1" applyFont="1" applyFill="1" applyBorder="1"/>
    <xf numFmtId="2" fontId="0" fillId="4" borderId="1" xfId="0" applyNumberFormat="1" applyFill="1" applyBorder="1"/>
    <xf numFmtId="166" fontId="0" fillId="4" borderId="12" xfId="1" applyNumberFormat="1" applyFont="1" applyFill="1" applyBorder="1"/>
    <xf numFmtId="166" fontId="0" fillId="4" borderId="1" xfId="1" applyNumberFormat="1" applyFont="1" applyFill="1" applyBorder="1"/>
    <xf numFmtId="176" fontId="0" fillId="2" borderId="1" xfId="1" applyNumberFormat="1" applyFont="1" applyFill="1" applyBorder="1"/>
    <xf numFmtId="0" fontId="13" fillId="7" borderId="1" xfId="3" applyFont="1" applyFill="1" applyBorder="1" applyAlignment="1">
      <alignment horizontal="center" vertical="center"/>
    </xf>
    <xf numFmtId="172" fontId="7" fillId="2" borderId="1" xfId="5" applyNumberFormat="1" applyFont="1" applyFill="1" applyBorder="1" applyAlignment="1">
      <alignment vertical="center"/>
    </xf>
    <xf numFmtId="10" fontId="13" fillId="2" borderId="1" xfId="2" applyNumberFormat="1" applyFont="1" applyFill="1" applyBorder="1" applyAlignment="1">
      <alignment vertical="center"/>
    </xf>
    <xf numFmtId="10" fontId="15" fillId="2" borderId="1" xfId="2" applyNumberFormat="1" applyFont="1" applyFill="1" applyBorder="1" applyAlignment="1">
      <alignment horizontal="center" vertical="center"/>
    </xf>
    <xf numFmtId="10" fontId="15" fillId="3" borderId="1" xfId="2" applyNumberFormat="1" applyFont="1" applyFill="1" applyBorder="1" applyAlignment="1">
      <alignment horizontal="center" vertical="center"/>
    </xf>
    <xf numFmtId="166" fontId="7" fillId="3" borderId="1" xfId="4" applyNumberFormat="1" applyFont="1" applyFill="1" applyBorder="1" applyAlignment="1">
      <alignment vertical="center"/>
    </xf>
    <xf numFmtId="43" fontId="7" fillId="3" borderId="1" xfId="4" applyFont="1" applyFill="1" applyBorder="1" applyAlignment="1">
      <alignment vertical="center"/>
    </xf>
    <xf numFmtId="173" fontId="7" fillId="8" borderId="1" xfId="5" applyNumberFormat="1" applyFont="1" applyFill="1" applyBorder="1" applyAlignment="1">
      <alignment vertical="center"/>
    </xf>
    <xf numFmtId="43" fontId="7" fillId="9" borderId="1" xfId="4" applyFont="1" applyFill="1" applyBorder="1" applyAlignment="1">
      <alignment vertical="center"/>
    </xf>
    <xf numFmtId="43" fontId="7" fillId="10" borderId="1" xfId="4" applyFont="1" applyFill="1" applyBorder="1" applyAlignment="1">
      <alignment vertical="center"/>
    </xf>
    <xf numFmtId="10" fontId="7" fillId="2" borderId="1" xfId="2" applyNumberFormat="1" applyFont="1" applyFill="1" applyBorder="1" applyAlignment="1">
      <alignment vertical="center"/>
    </xf>
    <xf numFmtId="177" fontId="7" fillId="2" borderId="1" xfId="2" applyNumberFormat="1" applyFont="1" applyFill="1" applyBorder="1" applyAlignment="1">
      <alignment vertical="center"/>
    </xf>
    <xf numFmtId="178" fontId="7" fillId="11" borderId="1" xfId="2" applyNumberFormat="1" applyFont="1" applyFill="1" applyBorder="1" applyAlignment="1">
      <alignment vertical="center"/>
    </xf>
    <xf numFmtId="43" fontId="7" fillId="12" borderId="1" xfId="4" applyFont="1" applyFill="1" applyBorder="1" applyAlignment="1">
      <alignment vertical="center"/>
    </xf>
    <xf numFmtId="174" fontId="15" fillId="3" borderId="1" xfId="3" applyNumberFormat="1" applyFont="1" applyFill="1" applyBorder="1" applyAlignment="1">
      <alignment horizontal="center"/>
    </xf>
    <xf numFmtId="166" fontId="7" fillId="2" borderId="11" xfId="3" applyNumberFormat="1" applyFont="1" applyFill="1" applyBorder="1" applyAlignment="1">
      <alignment vertical="center"/>
    </xf>
    <xf numFmtId="166" fontId="7" fillId="3" borderId="11" xfId="3" applyNumberFormat="1" applyFont="1" applyFill="1" applyBorder="1" applyAlignment="1">
      <alignment vertical="center"/>
    </xf>
    <xf numFmtId="166" fontId="5" fillId="0" borderId="1" xfId="3" applyNumberFormat="1" applyBorder="1"/>
    <xf numFmtId="43" fontId="5" fillId="3" borderId="1" xfId="1" applyFont="1" applyFill="1" applyBorder="1"/>
    <xf numFmtId="167" fontId="5" fillId="3" borderId="1" xfId="3" applyNumberFormat="1" applyFill="1" applyBorder="1"/>
    <xf numFmtId="179" fontId="24" fillId="13" borderId="1" xfId="4" applyNumberFormat="1" applyFont="1" applyFill="1" applyBorder="1"/>
    <xf numFmtId="0" fontId="5" fillId="0" borderId="23" xfId="3" applyBorder="1"/>
    <xf numFmtId="174" fontId="5" fillId="0" borderId="1" xfId="3" applyNumberFormat="1" applyBorder="1"/>
    <xf numFmtId="0" fontId="0" fillId="14" borderId="1" xfId="0" applyFill="1" applyBorder="1"/>
    <xf numFmtId="10" fontId="0" fillId="4" borderId="1" xfId="2" applyNumberFormat="1" applyFont="1" applyFill="1" applyBorder="1"/>
    <xf numFmtId="167" fontId="0" fillId="3" borderId="1" xfId="1" applyNumberFormat="1" applyFont="1" applyFill="1" applyBorder="1"/>
    <xf numFmtId="167" fontId="0" fillId="6" borderId="1" xfId="1" applyNumberFormat="1" applyFont="1" applyFill="1" applyBorder="1"/>
    <xf numFmtId="167" fontId="0" fillId="7" borderId="1" xfId="1" applyNumberFormat="1" applyFont="1" applyFill="1" applyBorder="1"/>
    <xf numFmtId="171" fontId="0" fillId="4" borderId="23" xfId="0" applyNumberFormat="1" applyFill="1" applyBorder="1"/>
    <xf numFmtId="0" fontId="0" fillId="2" borderId="23" xfId="0" applyFill="1" applyBorder="1"/>
    <xf numFmtId="165" fontId="0" fillId="0" borderId="1" xfId="1" applyNumberFormat="1" applyFont="1" applyFill="1" applyBorder="1"/>
    <xf numFmtId="184" fontId="0" fillId="2" borderId="1" xfId="1" applyNumberFormat="1" applyFont="1" applyFill="1" applyBorder="1"/>
    <xf numFmtId="183" fontId="0" fillId="4" borderId="1" xfId="1" applyNumberFormat="1" applyFont="1" applyFill="1" applyBorder="1"/>
    <xf numFmtId="43" fontId="0" fillId="6" borderId="1" xfId="1" applyFont="1" applyFill="1" applyBorder="1"/>
    <xf numFmtId="180" fontId="0" fillId="0" borderId="1" xfId="1" applyNumberFormat="1" applyFont="1" applyBorder="1"/>
    <xf numFmtId="181" fontId="0" fillId="0" borderId="1" xfId="1" applyNumberFormat="1" applyFont="1" applyBorder="1"/>
    <xf numFmtId="182" fontId="0" fillId="0" borderId="1" xfId="1" applyNumberFormat="1" applyFont="1" applyBorder="1"/>
    <xf numFmtId="167" fontId="0" fillId="6" borderId="0" xfId="1" applyNumberFormat="1" applyFont="1" applyFill="1"/>
    <xf numFmtId="10" fontId="0" fillId="3" borderId="1" xfId="2" applyNumberFormat="1" applyFont="1" applyFill="1" applyBorder="1"/>
    <xf numFmtId="166" fontId="0" fillId="6" borderId="1" xfId="1" applyNumberFormat="1" applyFont="1" applyFill="1" applyBorder="1"/>
    <xf numFmtId="166" fontId="0" fillId="12" borderId="12" xfId="1" applyNumberFormat="1" applyFont="1" applyFill="1" applyBorder="1"/>
    <xf numFmtId="43" fontId="24" fillId="13" borderId="1" xfId="1" applyFont="1" applyFill="1" applyBorder="1"/>
    <xf numFmtId="167" fontId="0" fillId="12" borderId="0" xfId="1" applyNumberFormat="1" applyFont="1" applyFill="1"/>
    <xf numFmtId="10" fontId="0" fillId="3" borderId="0" xfId="2" applyNumberFormat="1" applyFont="1" applyFill="1"/>
    <xf numFmtId="43" fontId="0" fillId="0" borderId="1" xfId="1" applyFont="1" applyBorder="1"/>
    <xf numFmtId="43" fontId="0" fillId="2" borderId="1" xfId="1" applyFont="1" applyFill="1" applyBorder="1"/>
    <xf numFmtId="43" fontId="0" fillId="0" borderId="1" xfId="0" applyNumberFormat="1" applyBorder="1"/>
    <xf numFmtId="177" fontId="0" fillId="0" borderId="1" xfId="2" applyNumberFormat="1" applyFont="1" applyBorder="1"/>
    <xf numFmtId="9" fontId="0" fillId="0" borderId="0" xfId="0" applyNumberFormat="1"/>
    <xf numFmtId="43" fontId="0" fillId="3" borderId="1" xfId="1" applyFont="1" applyFill="1" applyBorder="1"/>
    <xf numFmtId="43" fontId="0" fillId="3" borderId="1" xfId="0" applyNumberFormat="1" applyFill="1" applyBorder="1"/>
    <xf numFmtId="0" fontId="0" fillId="7" borderId="1" xfId="0" applyFill="1" applyBorder="1"/>
    <xf numFmtId="43" fontId="0" fillId="7" borderId="1" xfId="1" applyFont="1" applyFill="1" applyBorder="1"/>
    <xf numFmtId="10" fontId="0" fillId="7" borderId="1" xfId="2" applyNumberFormat="1" applyFont="1" applyFill="1" applyBorder="1"/>
    <xf numFmtId="43" fontId="0" fillId="0" borderId="0" xfId="0" applyNumberFormat="1"/>
    <xf numFmtId="164" fontId="0" fillId="0" borderId="1" xfId="0" applyNumberFormat="1" applyBorder="1"/>
    <xf numFmtId="10" fontId="0" fillId="0" borderId="1" xfId="0" applyNumberFormat="1" applyBorder="1"/>
    <xf numFmtId="43" fontId="0" fillId="0" borderId="1" xfId="1" applyFont="1" applyFill="1" applyBorder="1"/>
    <xf numFmtId="177" fontId="0" fillId="0" borderId="1" xfId="0" applyNumberFormat="1" applyBorder="1"/>
    <xf numFmtId="172" fontId="0" fillId="3" borderId="1" xfId="2" applyNumberFormat="1" applyFont="1" applyFill="1" applyBorder="1"/>
    <xf numFmtId="185" fontId="0" fillId="3" borderId="1" xfId="2" applyNumberFormat="1" applyFont="1" applyFill="1" applyBorder="1"/>
    <xf numFmtId="0" fontId="0" fillId="3" borderId="1" xfId="0" applyFill="1" applyBorder="1"/>
    <xf numFmtId="166" fontId="0" fillId="0" borderId="23" xfId="1" applyNumberFormat="1" applyFont="1" applyBorder="1"/>
    <xf numFmtId="166" fontId="0" fillId="0" borderId="1" xfId="0" applyNumberFormat="1" applyBorder="1"/>
    <xf numFmtId="43" fontId="0" fillId="2" borderId="0" xfId="1" applyFont="1" applyFill="1" applyBorder="1"/>
    <xf numFmtId="0" fontId="0" fillId="2" borderId="0" xfId="0" applyFill="1"/>
    <xf numFmtId="43" fontId="0" fillId="2" borderId="0" xfId="0" applyNumberFormat="1" applyFill="1"/>
    <xf numFmtId="10" fontId="0" fillId="2" borderId="0" xfId="2" applyNumberFormat="1" applyFont="1" applyFill="1" applyBorder="1"/>
    <xf numFmtId="166" fontId="0" fillId="2" borderId="0" xfId="1" applyNumberFormat="1" applyFont="1" applyFill="1" applyBorder="1"/>
    <xf numFmtId="164" fontId="0" fillId="2" borderId="0" xfId="0" applyNumberFormat="1" applyFill="1"/>
    <xf numFmtId="172" fontId="0" fillId="2" borderId="0" xfId="2" applyNumberFormat="1" applyFont="1" applyFill="1" applyBorder="1"/>
    <xf numFmtId="10" fontId="0" fillId="2" borderId="0" xfId="0" applyNumberFormat="1" applyFill="1"/>
    <xf numFmtId="185" fontId="0" fillId="2" borderId="0" xfId="2" applyNumberFormat="1" applyFont="1" applyFill="1" applyBorder="1"/>
    <xf numFmtId="43" fontId="0" fillId="2" borderId="1" xfId="0" applyNumberFormat="1" applyFill="1" applyBorder="1"/>
    <xf numFmtId="0" fontId="25" fillId="2" borderId="0" xfId="3" applyFont="1" applyFill="1"/>
    <xf numFmtId="0" fontId="26" fillId="2" borderId="0" xfId="3" applyFont="1" applyFill="1"/>
    <xf numFmtId="0" fontId="26" fillId="2" borderId="1" xfId="3" applyFont="1" applyFill="1" applyBorder="1" applyAlignment="1">
      <alignment horizontal="center"/>
    </xf>
    <xf numFmtId="3" fontId="27" fillId="2" borderId="0" xfId="3" applyNumberFormat="1" applyFont="1" applyFill="1"/>
    <xf numFmtId="10" fontId="25" fillId="2" borderId="1" xfId="5" applyNumberFormat="1" applyFont="1" applyFill="1" applyBorder="1" applyAlignment="1">
      <alignment horizontal="center"/>
    </xf>
    <xf numFmtId="10" fontId="25" fillId="2" borderId="0" xfId="5" applyNumberFormat="1" applyFont="1" applyFill="1" applyBorder="1"/>
    <xf numFmtId="0" fontId="25" fillId="2" borderId="24" xfId="3" applyFont="1" applyFill="1" applyBorder="1"/>
    <xf numFmtId="0" fontId="26" fillId="0" borderId="0" xfId="3" applyFont="1" applyAlignment="1">
      <alignment horizontal="left"/>
    </xf>
    <xf numFmtId="174" fontId="25" fillId="2" borderId="0" xfId="3" applyNumberFormat="1" applyFont="1" applyFill="1"/>
    <xf numFmtId="10" fontId="25" fillId="2" borderId="1" xfId="3" applyNumberFormat="1" applyFont="1" applyFill="1" applyBorder="1"/>
    <xf numFmtId="0" fontId="26" fillId="2" borderId="1" xfId="3" applyFont="1" applyFill="1" applyBorder="1"/>
    <xf numFmtId="43" fontId="25" fillId="2" borderId="1" xfId="3" applyNumberFormat="1" applyFont="1" applyFill="1" applyBorder="1"/>
    <xf numFmtId="43" fontId="25" fillId="3" borderId="1" xfId="1" applyFont="1" applyFill="1" applyBorder="1"/>
    <xf numFmtId="43" fontId="25" fillId="7" borderId="1" xfId="3" applyNumberFormat="1" applyFont="1" applyFill="1" applyBorder="1"/>
    <xf numFmtId="43" fontId="0" fillId="6" borderId="1" xfId="0" applyNumberFormat="1" applyFill="1" applyBorder="1"/>
    <xf numFmtId="166" fontId="0" fillId="2" borderId="0" xfId="2" applyNumberFormat="1" applyFont="1" applyFill="1" applyBorder="1"/>
    <xf numFmtId="10" fontId="0" fillId="7" borderId="1" xfId="0" applyNumberFormat="1" applyFill="1" applyBorder="1"/>
    <xf numFmtId="177" fontId="0" fillId="6" borderId="1" xfId="0" applyNumberFormat="1" applyFill="1" applyBorder="1"/>
    <xf numFmtId="166" fontId="0" fillId="12" borderId="23" xfId="1" applyNumberFormat="1" applyFont="1" applyFill="1" applyBorder="1"/>
    <xf numFmtId="166" fontId="0" fillId="12" borderId="1" xfId="1" applyNumberFormat="1" applyFont="1" applyFill="1" applyBorder="1"/>
    <xf numFmtId="177" fontId="0" fillId="0" borderId="0" xfId="0" applyNumberFormat="1"/>
    <xf numFmtId="177" fontId="0" fillId="3" borderId="1" xfId="2" applyNumberFormat="1" applyFont="1" applyFill="1" applyBorder="1"/>
    <xf numFmtId="166" fontId="0" fillId="14" borderId="1" xfId="0" applyNumberFormat="1" applyFill="1" applyBorder="1"/>
    <xf numFmtId="166" fontId="0" fillId="12" borderId="1" xfId="0" applyNumberFormat="1" applyFill="1" applyBorder="1"/>
    <xf numFmtId="166" fontId="0" fillId="0" borderId="0" xfId="0" applyNumberFormat="1"/>
    <xf numFmtId="0" fontId="7" fillId="2" borderId="0" xfId="3" applyFont="1" applyFill="1" applyAlignment="1">
      <alignment horizontal="center" vertical="center"/>
    </xf>
    <xf numFmtId="0" fontId="8" fillId="2" borderId="0" xfId="3" applyFont="1" applyFill="1" applyAlignment="1">
      <alignment vertical="center" wrapText="1"/>
    </xf>
    <xf numFmtId="0" fontId="9" fillId="2" borderId="0" xfId="3" applyFont="1" applyFill="1" applyAlignment="1">
      <alignment vertical="center" wrapText="1"/>
    </xf>
    <xf numFmtId="0" fontId="10" fillId="2" borderId="0" xfId="3" applyFont="1" applyFill="1" applyAlignment="1">
      <alignment vertical="center" wrapText="1"/>
    </xf>
    <xf numFmtId="0" fontId="15" fillId="2" borderId="0" xfId="3" applyFont="1" applyFill="1" applyAlignment="1">
      <alignment vertical="center" wrapText="1"/>
    </xf>
    <xf numFmtId="0" fontId="17" fillId="2" borderId="0" xfId="3" applyFont="1" applyFill="1" applyAlignment="1">
      <alignment vertical="center" wrapText="1"/>
    </xf>
    <xf numFmtId="0" fontId="17" fillId="2" borderId="19" xfId="3" applyFont="1" applyFill="1" applyBorder="1" applyAlignment="1">
      <alignment vertical="center" wrapText="1"/>
    </xf>
    <xf numFmtId="0" fontId="22" fillId="0" borderId="1" xfId="3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166" fontId="2" fillId="0" borderId="1" xfId="1" applyNumberFormat="1" applyFont="1" applyBorder="1" applyAlignment="1">
      <alignment horizontal="center" wrapText="1"/>
    </xf>
    <xf numFmtId="0" fontId="0" fillId="0" borderId="9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166" fontId="0" fillId="15" borderId="1" xfId="1" applyNumberFormat="1" applyFont="1" applyFill="1" applyBorder="1"/>
    <xf numFmtId="0" fontId="0" fillId="16" borderId="2" xfId="0" applyFill="1" applyBorder="1"/>
    <xf numFmtId="0" fontId="0" fillId="16" borderId="18" xfId="0" applyFill="1" applyBorder="1"/>
    <xf numFmtId="0" fontId="0" fillId="16" borderId="13" xfId="0" applyFill="1" applyBorder="1"/>
    <xf numFmtId="0" fontId="0" fillId="16" borderId="14" xfId="0" applyFill="1" applyBorder="1"/>
    <xf numFmtId="43" fontId="0" fillId="0" borderId="8" xfId="1" applyFont="1" applyBorder="1"/>
  </cellXfs>
  <cellStyles count="6">
    <cellStyle name="Migliaia" xfId="1" builtinId="3"/>
    <cellStyle name="Migliaia 2" xfId="4" xr:uid="{00000000-0005-0000-0000-000001000000}"/>
    <cellStyle name="Normale" xfId="0" builtinId="0"/>
    <cellStyle name="Normale 2" xfId="3" xr:uid="{00000000-0005-0000-0000-000003000000}"/>
    <cellStyle name="Percentuale" xfId="2" builtinId="5"/>
    <cellStyle name="Percentuale 2" xfId="5" xr:uid="{00000000-0005-0000-0000-000005000000}"/>
  </cellStyles>
  <dxfs count="0"/>
  <tableStyles count="0" defaultTableStyle="TableStyleMedium2" defaultPivotStyle="PivotStyleMedium9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externalLink" Target="externalLinks/externalLink10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externalLink" Target="externalLinks/externalLink9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8.xml"/><Relationship Id="rId20" Type="http://schemas.openxmlformats.org/officeDocument/2006/relationships/externalLink" Target="externalLinks/externalLink12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23" Type="http://schemas.openxmlformats.org/officeDocument/2006/relationships/externalLink" Target="externalLinks/externalLink15.xml"/><Relationship Id="rId28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19" Type="http://schemas.openxmlformats.org/officeDocument/2006/relationships/externalLink" Target="externalLinks/externalLink1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Relationship Id="rId22" Type="http://schemas.openxmlformats.org/officeDocument/2006/relationships/externalLink" Target="externalLinks/externalLink14.xml"/><Relationship Id="rId27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w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2</xdr:row>
      <xdr:rowOff>121920</xdr:rowOff>
    </xdr:from>
    <xdr:to>
      <xdr:col>1</xdr:col>
      <xdr:colOff>411480</xdr:colOff>
      <xdr:row>2</xdr:row>
      <xdr:rowOff>228600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441960" y="632460"/>
          <a:ext cx="373380" cy="106680"/>
        </a:xfrm>
        <a:prstGeom prst="rightArrow">
          <a:avLst>
            <a:gd name="adj1" fmla="val 50000"/>
            <a:gd name="adj2" fmla="val 87678"/>
          </a:avLst>
        </a:prstGeom>
        <a:solidFill>
          <a:srgbClr val="CC0099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205740</xdr:colOff>
      <xdr:row>28</xdr:row>
      <xdr:rowOff>38100</xdr:rowOff>
    </xdr:from>
    <xdr:to>
      <xdr:col>6</xdr:col>
      <xdr:colOff>281940</xdr:colOff>
      <xdr:row>29</xdr:row>
      <xdr:rowOff>137160</xdr:rowOff>
    </xdr:to>
    <xdr:sp macro="" textlink="">
      <xdr:nvSpPr>
        <xdr:cNvPr id="3" name="AutoShape 79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5394960" y="6256020"/>
          <a:ext cx="1036320" cy="274320"/>
        </a:xfrm>
        <a:prstGeom prst="rightArrow">
          <a:avLst>
            <a:gd name="adj1" fmla="val 50000"/>
            <a:gd name="adj2" fmla="val 172851"/>
          </a:avLst>
        </a:prstGeom>
        <a:solidFill>
          <a:srgbClr val="CC0099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777240</xdr:colOff>
      <xdr:row>26</xdr:row>
      <xdr:rowOff>160020</xdr:rowOff>
    </xdr:from>
    <xdr:to>
      <xdr:col>7</xdr:col>
      <xdr:colOff>0</xdr:colOff>
      <xdr:row>31</xdr:row>
      <xdr:rowOff>15240</xdr:rowOff>
    </xdr:to>
    <xdr:sp macro="" textlink="">
      <xdr:nvSpPr>
        <xdr:cNvPr id="4" name="AutoShape 8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/>
        </xdr:cNvSpPr>
      </xdr:nvSpPr>
      <xdr:spPr bwMode="auto">
        <a:xfrm>
          <a:off x="6926580" y="5913120"/>
          <a:ext cx="182880" cy="906780"/>
        </a:xfrm>
        <a:prstGeom prst="leftBrace">
          <a:avLst>
            <a:gd name="adj1" fmla="val 112159"/>
            <a:gd name="adj2" fmla="val 50000"/>
          </a:avLst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777240</xdr:colOff>
      <xdr:row>65</xdr:row>
      <xdr:rowOff>15240</xdr:rowOff>
    </xdr:from>
    <xdr:to>
      <xdr:col>7</xdr:col>
      <xdr:colOff>0</xdr:colOff>
      <xdr:row>69</xdr:row>
      <xdr:rowOff>30480</xdr:rowOff>
    </xdr:to>
    <xdr:sp macro="" textlink="">
      <xdr:nvSpPr>
        <xdr:cNvPr id="5" name="AutoShape 8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/>
        </xdr:cNvSpPr>
      </xdr:nvSpPr>
      <xdr:spPr bwMode="auto">
        <a:xfrm>
          <a:off x="6926580" y="13335000"/>
          <a:ext cx="182880" cy="922020"/>
        </a:xfrm>
        <a:prstGeom prst="leftBrace">
          <a:avLst>
            <a:gd name="adj1" fmla="val 115211"/>
            <a:gd name="adj2" fmla="val 50000"/>
          </a:avLst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228600</xdr:colOff>
      <xdr:row>66</xdr:row>
      <xdr:rowOff>38100</xdr:rowOff>
    </xdr:from>
    <xdr:to>
      <xdr:col>6</xdr:col>
      <xdr:colOff>510540</xdr:colOff>
      <xdr:row>67</xdr:row>
      <xdr:rowOff>137160</xdr:rowOff>
    </xdr:to>
    <xdr:sp macro="" textlink="">
      <xdr:nvSpPr>
        <xdr:cNvPr id="6" name="AutoShape 79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5417820" y="13677900"/>
          <a:ext cx="1242060" cy="274320"/>
        </a:xfrm>
        <a:prstGeom prst="rightArrow">
          <a:avLst>
            <a:gd name="adj1" fmla="val 50000"/>
            <a:gd name="adj2" fmla="val 172915"/>
          </a:avLst>
        </a:prstGeom>
        <a:solidFill>
          <a:srgbClr val="CC0099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7</xdr:col>
      <xdr:colOff>198120</xdr:colOff>
      <xdr:row>7</xdr:row>
      <xdr:rowOff>335280</xdr:rowOff>
    </xdr:from>
    <xdr:to>
      <xdr:col>7</xdr:col>
      <xdr:colOff>1082040</xdr:colOff>
      <xdr:row>7</xdr:row>
      <xdr:rowOff>816428</xdr:rowOff>
    </xdr:to>
    <xdr:pic>
      <xdr:nvPicPr>
        <xdr:cNvPr id="7" name="Picture 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429183" y="1954530"/>
          <a:ext cx="883920" cy="4811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685800</xdr:colOff>
      <xdr:row>16</xdr:row>
      <xdr:rowOff>57150</xdr:rowOff>
    </xdr:from>
    <xdr:to>
      <xdr:col>6</xdr:col>
      <xdr:colOff>285750</xdr:colOff>
      <xdr:row>17</xdr:row>
      <xdr:rowOff>146050</xdr:rowOff>
    </xdr:to>
    <xdr:sp macro="" textlink="">
      <xdr:nvSpPr>
        <xdr:cNvPr id="4097" name="Object 1" hidden="1">
          <a:extLst>
            <a:ext uri="{63B3BB69-23CF-44E3-9099-C40C66FF867C}">
              <a14:compatExt xmlns:a14="http://schemas.microsoft.com/office/drawing/2010/main" spid="_x0000_s4097"/>
            </a:ext>
            <a:ext uri="{FF2B5EF4-FFF2-40B4-BE49-F238E27FC236}">
              <a16:creationId xmlns:a16="http://schemas.microsoft.com/office/drawing/2014/main" id="{00000000-0008-0000-0000-00000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590550</xdr:colOff>
      <xdr:row>51</xdr:row>
      <xdr:rowOff>69850</xdr:rowOff>
    </xdr:from>
    <xdr:to>
      <xdr:col>3</xdr:col>
      <xdr:colOff>0</xdr:colOff>
      <xdr:row>54</xdr:row>
      <xdr:rowOff>0</xdr:rowOff>
    </xdr:to>
    <xdr:sp macro="" textlink="">
      <xdr:nvSpPr>
        <xdr:cNvPr id="4098" name="Object 2" hidden="1">
          <a:extLst>
            <a:ext uri="{63B3BB69-23CF-44E3-9099-C40C66FF867C}">
              <a14:compatExt xmlns:a14="http://schemas.microsoft.com/office/drawing/2010/main" spid="_x0000_s4098"/>
            </a:ext>
            <a:ext uri="{FF2B5EF4-FFF2-40B4-BE49-F238E27FC236}">
              <a16:creationId xmlns:a16="http://schemas.microsoft.com/office/drawing/2014/main" id="{00000000-0008-0000-0000-00000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2</xdr:col>
      <xdr:colOff>590550</xdr:colOff>
      <xdr:row>54</xdr:row>
      <xdr:rowOff>114300</xdr:rowOff>
    </xdr:from>
    <xdr:to>
      <xdr:col>3</xdr:col>
      <xdr:colOff>0</xdr:colOff>
      <xdr:row>57</xdr:row>
      <xdr:rowOff>0</xdr:rowOff>
    </xdr:to>
    <xdr:sp macro="" textlink="">
      <xdr:nvSpPr>
        <xdr:cNvPr id="4099" name="Object 3" hidden="1">
          <a:extLst>
            <a:ext uri="{63B3BB69-23CF-44E3-9099-C40C66FF867C}">
              <a14:compatExt xmlns:a14="http://schemas.microsoft.com/office/drawing/2010/main" spid="_x0000_s4099"/>
            </a:ext>
            <a:ext uri="{FF2B5EF4-FFF2-40B4-BE49-F238E27FC236}">
              <a16:creationId xmlns:a16="http://schemas.microsoft.com/office/drawing/2014/main" id="{00000000-0008-0000-0000-00000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400050</xdr:colOff>
      <xdr:row>17</xdr:row>
      <xdr:rowOff>152400</xdr:rowOff>
    </xdr:from>
    <xdr:to>
      <xdr:col>8</xdr:col>
      <xdr:colOff>1111250</xdr:colOff>
      <xdr:row>22</xdr:row>
      <xdr:rowOff>114300</xdr:rowOff>
    </xdr:to>
    <xdr:sp macro="" textlink="">
      <xdr:nvSpPr>
        <xdr:cNvPr id="4100" name="Object 4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393700</xdr:colOff>
      <xdr:row>57</xdr:row>
      <xdr:rowOff>146050</xdr:rowOff>
    </xdr:from>
    <xdr:to>
      <xdr:col>8</xdr:col>
      <xdr:colOff>0</xdr:colOff>
      <xdr:row>60</xdr:row>
      <xdr:rowOff>76200</xdr:rowOff>
    </xdr:to>
    <xdr:sp macro="" textlink="">
      <xdr:nvSpPr>
        <xdr:cNvPr id="4101" name="Object 5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39</xdr:row>
      <xdr:rowOff>396874</xdr:rowOff>
    </xdr:from>
    <xdr:to>
      <xdr:col>14</xdr:col>
      <xdr:colOff>71437</xdr:colOff>
      <xdr:row>50</xdr:row>
      <xdr:rowOff>75622</xdr:rowOff>
    </xdr:to>
    <xdr:pic>
      <xdr:nvPicPr>
        <xdr:cNvPr id="13" name="Immagin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1938" y="8699499"/>
          <a:ext cx="3016250" cy="18536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87313</xdr:colOff>
      <xdr:row>50</xdr:row>
      <xdr:rowOff>23814</xdr:rowOff>
    </xdr:from>
    <xdr:to>
      <xdr:col>15</xdr:col>
      <xdr:colOff>239714</xdr:colOff>
      <xdr:row>56</xdr:row>
      <xdr:rowOff>100014</xdr:rowOff>
    </xdr:to>
    <xdr:pic>
      <xdr:nvPicPr>
        <xdr:cNvPr id="14" name="Immagin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5688" y="10501314"/>
          <a:ext cx="5573713" cy="1155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685800</xdr:colOff>
      <xdr:row>16</xdr:row>
      <xdr:rowOff>57150</xdr:rowOff>
    </xdr:from>
    <xdr:to>
      <xdr:col>6</xdr:col>
      <xdr:colOff>285750</xdr:colOff>
      <xdr:row>17</xdr:row>
      <xdr:rowOff>146050</xdr:rowOff>
    </xdr:to>
    <xdr:pic>
      <xdr:nvPicPr>
        <xdr:cNvPr id="8" name="Picture 1">
          <a:extLst>
            <a:ext uri="{FF2B5EF4-FFF2-40B4-BE49-F238E27FC236}">
              <a16:creationId xmlns:a16="http://schemas.microsoft.com/office/drawing/2014/main" id="{3A64513E-5241-481F-B67D-16B3D81F4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0" y="3924300"/>
          <a:ext cx="2133600" cy="279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590550</xdr:colOff>
      <xdr:row>51</xdr:row>
      <xdr:rowOff>69850</xdr:rowOff>
    </xdr:from>
    <xdr:to>
      <xdr:col>3</xdr:col>
      <xdr:colOff>0</xdr:colOff>
      <xdr:row>54</xdr:row>
      <xdr:rowOff>0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id="{B315B7FA-4FC4-4F03-809C-4F287843AB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4400" y="10820400"/>
          <a:ext cx="768350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2</xdr:col>
      <xdr:colOff>590550</xdr:colOff>
      <xdr:row>54</xdr:row>
      <xdr:rowOff>114300</xdr:rowOff>
    </xdr:from>
    <xdr:to>
      <xdr:col>3</xdr:col>
      <xdr:colOff>0</xdr:colOff>
      <xdr:row>57</xdr:row>
      <xdr:rowOff>0</xdr:rowOff>
    </xdr:to>
    <xdr:pic>
      <xdr:nvPicPr>
        <xdr:cNvPr id="10" name="Picture 3">
          <a:extLst>
            <a:ext uri="{FF2B5EF4-FFF2-40B4-BE49-F238E27FC236}">
              <a16:creationId xmlns:a16="http://schemas.microsoft.com/office/drawing/2014/main" id="{355FA6E8-3641-4248-B61B-51DFEAC49C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4400" y="11410950"/>
          <a:ext cx="768350" cy="431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>
    <xdr:from>
      <xdr:col>6</xdr:col>
      <xdr:colOff>400050</xdr:colOff>
      <xdr:row>17</xdr:row>
      <xdr:rowOff>152400</xdr:rowOff>
    </xdr:from>
    <xdr:to>
      <xdr:col>8</xdr:col>
      <xdr:colOff>1111250</xdr:colOff>
      <xdr:row>22</xdr:row>
      <xdr:rowOff>114300</xdr:rowOff>
    </xdr:to>
    <xdr:pic>
      <xdr:nvPicPr>
        <xdr:cNvPr id="11" name="Picture 4">
          <a:extLst>
            <a:ext uri="{FF2B5EF4-FFF2-40B4-BE49-F238E27FC236}">
              <a16:creationId xmlns:a16="http://schemas.microsoft.com/office/drawing/2014/main" id="{30F259B0-A1AD-49BC-ADCB-32FA00290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00900" y="4210050"/>
          <a:ext cx="3048000" cy="1009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393700</xdr:colOff>
      <xdr:row>57</xdr:row>
      <xdr:rowOff>146050</xdr:rowOff>
    </xdr:from>
    <xdr:to>
      <xdr:col>8</xdr:col>
      <xdr:colOff>0</xdr:colOff>
      <xdr:row>60</xdr:row>
      <xdr:rowOff>76200</xdr:rowOff>
    </xdr:to>
    <xdr:pic>
      <xdr:nvPicPr>
        <xdr:cNvPr id="12" name="Picture 5">
          <a:extLst>
            <a:ext uri="{FF2B5EF4-FFF2-40B4-BE49-F238E27FC236}">
              <a16:creationId xmlns:a16="http://schemas.microsoft.com/office/drawing/2014/main" id="{D5E7C853-CDE6-4DDA-B37F-62FDF5C78E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94550" y="11988800"/>
          <a:ext cx="1943100" cy="62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145073</xdr:colOff>
      <xdr:row>13</xdr:row>
      <xdr:rowOff>129687</xdr:rowOff>
    </xdr:from>
    <xdr:to>
      <xdr:col>5</xdr:col>
      <xdr:colOff>648695</xdr:colOff>
      <xdr:row>19</xdr:row>
      <xdr:rowOff>51156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149361" y="2606187"/>
          <a:ext cx="1810257" cy="1064469"/>
        </a:xfrm>
        <a:prstGeom prst="rect">
          <a:avLst/>
        </a:prstGeom>
      </xdr:spPr>
    </xdr:pic>
    <xdr:clientData/>
  </xdr:twoCellAnchor>
  <xdr:twoCellAnchor editAs="oneCell">
    <xdr:from>
      <xdr:col>6</xdr:col>
      <xdr:colOff>495300</xdr:colOff>
      <xdr:row>14</xdr:row>
      <xdr:rowOff>47625</xdr:rowOff>
    </xdr:from>
    <xdr:to>
      <xdr:col>9</xdr:col>
      <xdr:colOff>614668</xdr:colOff>
      <xdr:row>16</xdr:row>
      <xdr:rowOff>182815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648575" y="2143125"/>
          <a:ext cx="4390476" cy="523810"/>
        </a:xfrm>
        <a:prstGeom prst="rect">
          <a:avLst/>
        </a:prstGeom>
      </xdr:spPr>
    </xdr:pic>
    <xdr:clientData/>
  </xdr:twoCellAnchor>
  <xdr:twoCellAnchor>
    <xdr:from>
      <xdr:col>2</xdr:col>
      <xdr:colOff>200025</xdr:colOff>
      <xdr:row>2</xdr:row>
      <xdr:rowOff>95250</xdr:rowOff>
    </xdr:from>
    <xdr:to>
      <xdr:col>2</xdr:col>
      <xdr:colOff>685800</xdr:colOff>
      <xdr:row>2</xdr:row>
      <xdr:rowOff>95250</xdr:rowOff>
    </xdr:to>
    <xdr:cxnSp macro="">
      <xdr:nvCxnSpPr>
        <xdr:cNvPr id="5" name="Connettore 2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3048000" y="476250"/>
          <a:ext cx="485775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200025</xdr:colOff>
      <xdr:row>1</xdr:row>
      <xdr:rowOff>104775</xdr:rowOff>
    </xdr:from>
    <xdr:to>
      <xdr:col>2</xdr:col>
      <xdr:colOff>685800</xdr:colOff>
      <xdr:row>1</xdr:row>
      <xdr:rowOff>104775</xdr:rowOff>
    </xdr:to>
    <xdr:cxnSp macro="">
      <xdr:nvCxnSpPr>
        <xdr:cNvPr id="9" name="Connettore 2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3048000" y="295275"/>
          <a:ext cx="485775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219076</xdr:colOff>
      <xdr:row>6</xdr:row>
      <xdr:rowOff>95250</xdr:rowOff>
    </xdr:from>
    <xdr:to>
      <xdr:col>2</xdr:col>
      <xdr:colOff>676275</xdr:colOff>
      <xdr:row>6</xdr:row>
      <xdr:rowOff>95250</xdr:rowOff>
    </xdr:to>
    <xdr:cxnSp macro="">
      <xdr:nvCxnSpPr>
        <xdr:cNvPr id="10" name="Connettore 2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H="1">
          <a:off x="3067051" y="857250"/>
          <a:ext cx="457199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219076</xdr:colOff>
      <xdr:row>7</xdr:row>
      <xdr:rowOff>95250</xdr:rowOff>
    </xdr:from>
    <xdr:to>
      <xdr:col>2</xdr:col>
      <xdr:colOff>676275</xdr:colOff>
      <xdr:row>7</xdr:row>
      <xdr:rowOff>95250</xdr:rowOff>
    </xdr:to>
    <xdr:cxnSp macro="">
      <xdr:nvCxnSpPr>
        <xdr:cNvPr id="13" name="Connettore 2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 flipH="1">
          <a:off x="3067051" y="1047750"/>
          <a:ext cx="457199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3</xdr:row>
      <xdr:rowOff>85725</xdr:rowOff>
    </xdr:from>
    <xdr:to>
      <xdr:col>3</xdr:col>
      <xdr:colOff>247650</xdr:colOff>
      <xdr:row>5</xdr:row>
      <xdr:rowOff>123825</xdr:rowOff>
    </xdr:to>
    <xdr:cxnSp macro="">
      <xdr:nvCxnSpPr>
        <xdr:cNvPr id="14" name="Connettore 2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>
          <a:off x="4171950" y="657225"/>
          <a:ext cx="0" cy="4191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895350</xdr:colOff>
      <xdr:row>19</xdr:row>
      <xdr:rowOff>127000</xdr:rowOff>
    </xdr:from>
    <xdr:to>
      <xdr:col>8</xdr:col>
      <xdr:colOff>342900</xdr:colOff>
      <xdr:row>22</xdr:row>
      <xdr:rowOff>114300</xdr:rowOff>
    </xdr:to>
    <xdr:sp macro="" textlink="">
      <xdr:nvSpPr>
        <xdr:cNvPr id="2050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6</xdr:col>
      <xdr:colOff>1250950</xdr:colOff>
      <xdr:row>19</xdr:row>
      <xdr:rowOff>95250</xdr:rowOff>
    </xdr:from>
    <xdr:to>
      <xdr:col>7</xdr:col>
      <xdr:colOff>317500</xdr:colOff>
      <xdr:row>22</xdr:row>
      <xdr:rowOff>107950</xdr:rowOff>
    </xdr:to>
    <xdr:sp macro="" textlink="">
      <xdr:nvSpPr>
        <xdr:cNvPr id="2051" name="Object 3" hidden="1">
          <a:extLst>
            <a:ext uri="{63B3BB69-23CF-44E3-9099-C40C66FF867C}">
              <a14:compatExt xmlns:a14="http://schemas.microsoft.com/office/drawing/2010/main" spid="_x0000_s2051"/>
            </a:ext>
            <a:ext uri="{FF2B5EF4-FFF2-40B4-BE49-F238E27FC236}">
              <a16:creationId xmlns:a16="http://schemas.microsoft.com/office/drawing/2014/main" id="{00000000-0008-0000-0300-00000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5</xdr:col>
      <xdr:colOff>229576</xdr:colOff>
      <xdr:row>0</xdr:row>
      <xdr:rowOff>136771</xdr:rowOff>
    </xdr:from>
    <xdr:to>
      <xdr:col>6</xdr:col>
      <xdr:colOff>725364</xdr:colOff>
      <xdr:row>6</xdr:row>
      <xdr:rowOff>162269</xdr:rowOff>
    </xdr:to>
    <xdr:pic>
      <xdr:nvPicPr>
        <xdr:cNvPr id="11" name="Immagin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5307" y="136771"/>
          <a:ext cx="1853711" cy="11391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895350</xdr:colOff>
      <xdr:row>19</xdr:row>
      <xdr:rowOff>127000</xdr:rowOff>
    </xdr:from>
    <xdr:to>
      <xdr:col>8</xdr:col>
      <xdr:colOff>342900</xdr:colOff>
      <xdr:row>22</xdr:row>
      <xdr:rowOff>114300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3D7876F1-F6C8-47C1-96C8-99C04C684D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1300" y="3625850"/>
          <a:ext cx="806450" cy="539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6</xdr:col>
      <xdr:colOff>1250950</xdr:colOff>
      <xdr:row>19</xdr:row>
      <xdr:rowOff>95250</xdr:rowOff>
    </xdr:from>
    <xdr:to>
      <xdr:col>7</xdr:col>
      <xdr:colOff>317500</xdr:colOff>
      <xdr:row>22</xdr:row>
      <xdr:rowOff>107950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7BA05447-B5A3-44CC-870C-BA15E1F8B1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36200" y="3594100"/>
          <a:ext cx="857250" cy="5651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2</xdr:row>
      <xdr:rowOff>76200</xdr:rowOff>
    </xdr:from>
    <xdr:to>
      <xdr:col>11</xdr:col>
      <xdr:colOff>390525</xdr:colOff>
      <xdr:row>5</xdr:row>
      <xdr:rowOff>28575</xdr:rowOff>
    </xdr:to>
    <xdr:sp macro="[0]!Macro1" textlink="">
      <xdr:nvSpPr>
        <xdr:cNvPr id="2" name="Ova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895975" y="457200"/>
          <a:ext cx="1552575" cy="523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Simulazione</a:t>
          </a:r>
        </a:p>
      </xdr:txBody>
    </xdr:sp>
    <xdr:clientData/>
  </xdr:twoCellAnchor>
  <xdr:twoCellAnchor>
    <xdr:from>
      <xdr:col>9</xdr:col>
      <xdr:colOff>171450</xdr:colOff>
      <xdr:row>6</xdr:row>
      <xdr:rowOff>146050</xdr:rowOff>
    </xdr:from>
    <xdr:to>
      <xdr:col>13</xdr:col>
      <xdr:colOff>171450</xdr:colOff>
      <xdr:row>8</xdr:row>
      <xdr:rowOff>12700</xdr:rowOff>
    </xdr:to>
    <xdr:sp macro="" textlink="">
      <xdr:nvSpPr>
        <xdr:cNvPr id="3074" name="Object 2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4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171450</xdr:colOff>
      <xdr:row>6</xdr:row>
      <xdr:rowOff>146050</xdr:rowOff>
    </xdr:from>
    <xdr:to>
      <xdr:col>13</xdr:col>
      <xdr:colOff>171450</xdr:colOff>
      <xdr:row>8</xdr:row>
      <xdr:rowOff>12700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AF3FDCE-32DB-4439-9827-C5406578B2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6500" y="1257300"/>
          <a:ext cx="3092450" cy="23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184150</xdr:colOff>
      <xdr:row>1</xdr:row>
      <xdr:rowOff>146050</xdr:rowOff>
    </xdr:from>
    <xdr:to>
      <xdr:col>9</xdr:col>
      <xdr:colOff>107950</xdr:colOff>
      <xdr:row>3</xdr:row>
      <xdr:rowOff>12700</xdr:rowOff>
    </xdr:to>
    <xdr:sp macro="" textlink="">
      <xdr:nvSpPr>
        <xdr:cNvPr id="11269" name="Object 5" hidden="1">
          <a:extLst>
            <a:ext uri="{63B3BB69-23CF-44E3-9099-C40C66FF867C}">
              <a14:compatExt xmlns:a14="http://schemas.microsoft.com/office/drawing/2010/main" spid="_x0000_s11269"/>
            </a:ext>
            <a:ext uri="{FF2B5EF4-FFF2-40B4-BE49-F238E27FC236}">
              <a16:creationId xmlns:a16="http://schemas.microsoft.com/office/drawing/2014/main" id="{00000000-0008-0000-0500-0000052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85090</xdr:colOff>
      <xdr:row>1</xdr:row>
      <xdr:rowOff>168910</xdr:rowOff>
    </xdr:from>
    <xdr:to>
      <xdr:col>9</xdr:col>
      <xdr:colOff>8890</xdr:colOff>
      <xdr:row>3</xdr:row>
      <xdr:rowOff>35560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A69A3B8D-968C-49C0-BD3C-E16A1E40B9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2930" y="351790"/>
          <a:ext cx="3291840" cy="232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kaltwasserpe\Local%20Settings\Temporary%20Internet%20Files\OLK65\100202_QIS5%20Helper%20tabs%20with%20Reins%20NP%20(3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arittoni\lavori_francesca%20b\Documents%20and%20Settings\elio.migliardi\Impostazioni%20locali\Temporary%20Internet%20Files\OLK5C\Tariffario%20TCM%20PU%20-%20mutui%20OK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b0481b01\documenti\Excel\01-Direzione\MALAGOLI\CDG\piano\Ultima%20versione\Trend_azioni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EURIZONTUTELA\RISK%20MANAGEMENT\2016\ISA_RiskMargin_31_12_2015_noVA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OLVENCY%20II\QIS%205\Spreadsheet%20and%20tools_23_09_10\H_Cashflows_Discounting_20100906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ATI\BILANCIO\OLD\COSTI2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salvatore.forte\Impostazioni%20locali\Temporary%20Internet%20Files\OLKF\Fisher%20Lange%20Assimoco%202006_dl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23.00%20SCR%20Dry%20Run%202014\CV\Prototype\CV_S2_Prototype_YE14_no%20VAv1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23.00%20SCR%20Dry%20Run%202014\HI\Accounting\HI_CDR_no%20V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s\pia.maddaluno\Desktop\BE_SCRNL_HLT_31_12_2014_HI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EURIZONTUTELA\RISK%20MANAGEMENT\2016\ISA_BE_Sinistri_30_09_2015_conVA_riservaISA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s\vittorio.blandini\Documents\01.Work\01.Projects\03.HELVETIA\B.ITA\01.Pillar%20I\02.Test%20Run\2015_SCR\02.%20Elaboration\04.NL\SCR_Tool_V0.4_HR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s\vittorio.blandini\Documents\01.Work\01.Projects\03.HELVETIA\B.ITA\01.Pillar%20I\02.Test%20Run\2015_SCR\CV\prova_content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s\vittorio.blandini\Documents\01.Work\01.Projects\03.HELVETIA\B.ITA\01.Pillar%20I\02.Test%20Run\2015_SCR\CV\prova_basic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s\vittorio.blandini\Documents\01.Work\01.Projects\03.HELVETIA\B.ITA\01.Pillar%20I\02.Test%20Run\2014_SCR%20Dry-run\Capital%20drivers\SCR_Tool_V0.6_HR_tf10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.Index"/>
      <sheetName val="H.Used term structure"/>
      <sheetName val="H. Underwriting risk NL"/>
      <sheetName val="Example Calib Coeff of Variance"/>
      <sheetName val="Adj. premium factor"/>
      <sheetName val="H.Value of Liabilities"/>
      <sheetName val="H.Value of FI assets"/>
      <sheetName val="H.RM Life"/>
      <sheetName val="H.RM Non-life"/>
      <sheetName val="H.RM Life rev"/>
      <sheetName val="H.Spread risk"/>
      <sheetName val="H.Concentration risk"/>
      <sheetName val="H.Counterparty risk"/>
      <sheetName val="0.Term structures"/>
      <sheetName val="0.Parameters"/>
      <sheetName val="0. Languag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2">
          <cell r="D2">
            <v>-1</v>
          </cell>
        </row>
        <row r="94">
          <cell r="F94" t="str">
            <v>Codes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VOLA"/>
      <sheetName val="calcolo"/>
      <sheetName val="tariffario"/>
    </sheetNames>
    <sheetDataSet>
      <sheetData sheetId="0"/>
      <sheetData sheetId="1">
        <row r="21">
          <cell r="B21">
            <v>1000</v>
          </cell>
        </row>
        <row r="23">
          <cell r="B23">
            <v>0.25</v>
          </cell>
        </row>
        <row r="24">
          <cell r="B24">
            <v>0.05</v>
          </cell>
        </row>
        <row r="27">
          <cell r="B27">
            <v>0.03</v>
          </cell>
        </row>
        <row r="29">
          <cell r="B29">
            <v>0.2</v>
          </cell>
        </row>
        <row r="30">
          <cell r="B30">
            <v>12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glio1"/>
      <sheetName val="Foglio1 (2)"/>
      <sheetName val="Legenda"/>
      <sheetName val="Azioni italiane"/>
      <sheetName val="price to book"/>
      <sheetName val="NIM  CE-sintesi"/>
      <sheetName val="SAP Rules"/>
      <sheetName val="BAV INPUT"/>
      <sheetName val="Matrice_interessi"/>
      <sheetName val="budget 2002 iss"/>
      <sheetName val="Rettifiche"/>
      <sheetName val="Trend_azioni"/>
      <sheetName val="NOTA_OPERATIVA"/>
      <sheetName val="P10.Volume-Dec-outstanding"/>
      <sheetName val="Totale Network"/>
      <sheetName val="Riep x società - Affitti"/>
      <sheetName val="Bridge 02"/>
      <sheetName val="ottobre"/>
      <sheetName val="CAMPIONE BK EU"/>
      <sheetName val="verifica 01-02"/>
      <sheetName val="capital italiane"/>
      <sheetName val="Altro"/>
      <sheetName val="10) Bloomberg Data"/>
      <sheetName val="Bloomberg data PricesHistorical"/>
      <sheetName val="scarico_USD Benchmark"/>
      <sheetName val="AFFARI dati"/>
      <sheetName val="DATABASE"/>
      <sheetName val="Foglio1_(2)"/>
      <sheetName val="Azioni_italiane"/>
      <sheetName val="price_to_book"/>
      <sheetName val="BAV_INPUT"/>
      <sheetName val="NIM__CE-sintesi"/>
      <sheetName val="budget_2002_iss"/>
      <sheetName val="SAP_Rules"/>
      <sheetName val="P10_Volume-Dec-outstanding"/>
      <sheetName val="Totale_Network"/>
      <sheetName val="Riep_x_società_-_Affitti"/>
      <sheetName val="Bridge_02"/>
      <sheetName val="CAMPIONE_BK_EU"/>
      <sheetName val="verifica_01-02"/>
      <sheetName val="capital_italiane"/>
      <sheetName val="10)_Bloomberg_Data"/>
      <sheetName val="Bloomberg_data_PricesHistorical"/>
      <sheetName val="scarico_USD_Benchmark"/>
      <sheetName val="AFFARI_dati"/>
    </sheetNames>
    <sheetDataSet>
      <sheetData sheetId="0" refreshError="1"/>
      <sheetData sheetId="1" refreshError="1"/>
      <sheetData sheetId="2" refreshError="1"/>
      <sheetData sheetId="3" refreshError="1">
        <row r="2">
          <cell r="A2">
            <v>36892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P"/>
      <sheetName val="Risk Margin"/>
      <sheetName val="Best Estimate "/>
      <sheetName val="SPOT-FWD"/>
      <sheetName val="appoggio per RM"/>
      <sheetName val="Rfr"/>
      <sheetName val="SCR 31_12_2015"/>
    </sheetNames>
    <sheetDataSet>
      <sheetData sheetId="0"/>
      <sheetData sheetId="1"/>
      <sheetData sheetId="2"/>
      <sheetData sheetId="3"/>
      <sheetData sheetId="4"/>
      <sheetData sheetId="5">
        <row r="5">
          <cell r="F5">
            <v>1</v>
          </cell>
          <cell r="G5">
            <v>-1.57E-3</v>
          </cell>
        </row>
        <row r="6">
          <cell r="F6">
            <v>2</v>
          </cell>
          <cell r="G6">
            <v>-1.2899999999999999E-3</v>
          </cell>
        </row>
        <row r="7">
          <cell r="F7">
            <v>3</v>
          </cell>
          <cell r="G7">
            <v>-3.8000000000000002E-4</v>
          </cell>
        </row>
        <row r="8">
          <cell r="F8">
            <v>4</v>
          </cell>
          <cell r="G8">
            <v>9.6000000000000002E-4</v>
          </cell>
        </row>
        <row r="9">
          <cell r="F9">
            <v>5</v>
          </cell>
          <cell r="G9">
            <v>2.32E-3</v>
          </cell>
        </row>
        <row r="10">
          <cell r="F10">
            <v>6</v>
          </cell>
          <cell r="G10">
            <v>3.81E-3</v>
          </cell>
        </row>
        <row r="11">
          <cell r="F11">
            <v>7</v>
          </cell>
          <cell r="G11">
            <v>5.2599999999999999E-3</v>
          </cell>
        </row>
        <row r="12">
          <cell r="F12">
            <v>8</v>
          </cell>
          <cell r="G12">
            <v>6.6699999999999997E-3</v>
          </cell>
        </row>
        <row r="13">
          <cell r="F13">
            <v>9</v>
          </cell>
          <cell r="G13">
            <v>8.0099999999999998E-3</v>
          </cell>
        </row>
        <row r="14">
          <cell r="F14">
            <v>10</v>
          </cell>
          <cell r="G14">
            <v>9.2099999999999994E-3</v>
          </cell>
        </row>
        <row r="15">
          <cell r="F15">
            <v>11</v>
          </cell>
          <cell r="G15">
            <v>1.026E-2</v>
          </cell>
        </row>
        <row r="16">
          <cell r="F16">
            <v>12</v>
          </cell>
          <cell r="G16">
            <v>1.12E-2</v>
          </cell>
        </row>
        <row r="17">
          <cell r="F17">
            <v>13</v>
          </cell>
          <cell r="G17">
            <v>1.208E-2</v>
          </cell>
        </row>
        <row r="18">
          <cell r="F18">
            <v>14</v>
          </cell>
          <cell r="G18">
            <v>1.2840000000000001E-2</v>
          </cell>
        </row>
        <row r="19">
          <cell r="F19">
            <v>15</v>
          </cell>
          <cell r="G19">
            <v>1.3440000000000001E-2</v>
          </cell>
        </row>
        <row r="20">
          <cell r="F20">
            <v>16</v>
          </cell>
          <cell r="G20">
            <v>1.388E-2</v>
          </cell>
        </row>
        <row r="21">
          <cell r="F21">
            <v>17</v>
          </cell>
          <cell r="G21">
            <v>1.422E-2</v>
          </cell>
        </row>
        <row r="22">
          <cell r="F22">
            <v>18</v>
          </cell>
          <cell r="G22">
            <v>1.4540000000000001E-2</v>
          </cell>
        </row>
        <row r="23">
          <cell r="F23">
            <v>19</v>
          </cell>
          <cell r="G23">
            <v>1.4880000000000001E-2</v>
          </cell>
        </row>
        <row r="24">
          <cell r="F24">
            <v>20</v>
          </cell>
          <cell r="G24">
            <v>1.5270000000000001E-2</v>
          </cell>
        </row>
        <row r="25">
          <cell r="F25">
            <v>21</v>
          </cell>
          <cell r="G25">
            <v>1.5740000000000001E-2</v>
          </cell>
        </row>
        <row r="26">
          <cell r="F26">
            <v>22</v>
          </cell>
          <cell r="G26">
            <v>1.627E-2</v>
          </cell>
        </row>
        <row r="27">
          <cell r="F27">
            <v>23</v>
          </cell>
          <cell r="G27">
            <v>1.6830000000000001E-2</v>
          </cell>
        </row>
        <row r="28">
          <cell r="F28">
            <v>24</v>
          </cell>
          <cell r="G28">
            <v>1.7409999999999998E-2</v>
          </cell>
        </row>
        <row r="29">
          <cell r="F29">
            <v>25</v>
          </cell>
          <cell r="G29">
            <v>1.7999999999999999E-2</v>
          </cell>
        </row>
        <row r="30">
          <cell r="F30">
            <v>26</v>
          </cell>
          <cell r="G30">
            <v>1.8589999999999999E-2</v>
          </cell>
        </row>
        <row r="31">
          <cell r="F31">
            <v>27</v>
          </cell>
          <cell r="G31">
            <v>1.9179999999999999E-2</v>
          </cell>
        </row>
        <row r="32">
          <cell r="F32">
            <v>28</v>
          </cell>
          <cell r="G32">
            <v>1.976E-2</v>
          </cell>
        </row>
        <row r="33">
          <cell r="F33">
            <v>29</v>
          </cell>
          <cell r="G33">
            <v>2.0330000000000001E-2</v>
          </cell>
        </row>
        <row r="34">
          <cell r="F34">
            <v>30</v>
          </cell>
          <cell r="G34">
            <v>2.0879999999999999E-2</v>
          </cell>
        </row>
        <row r="35">
          <cell r="F35">
            <v>31</v>
          </cell>
          <cell r="G35">
            <v>2.1409999999999998E-2</v>
          </cell>
        </row>
        <row r="36">
          <cell r="F36">
            <v>32</v>
          </cell>
          <cell r="G36">
            <v>2.1930000000000002E-2</v>
          </cell>
        </row>
        <row r="37">
          <cell r="F37">
            <v>33</v>
          </cell>
          <cell r="G37">
            <v>2.2429999999999999E-2</v>
          </cell>
        </row>
        <row r="38">
          <cell r="F38">
            <v>34</v>
          </cell>
          <cell r="G38">
            <v>2.2919999999999999E-2</v>
          </cell>
        </row>
        <row r="39">
          <cell r="F39">
            <v>35</v>
          </cell>
          <cell r="G39">
            <v>2.3380000000000001E-2</v>
          </cell>
        </row>
        <row r="40">
          <cell r="F40">
            <v>36</v>
          </cell>
          <cell r="G40">
            <v>2.383E-2</v>
          </cell>
        </row>
        <row r="41">
          <cell r="F41">
            <v>37</v>
          </cell>
          <cell r="G41">
            <v>2.426E-2</v>
          </cell>
        </row>
        <row r="42">
          <cell r="F42">
            <v>38</v>
          </cell>
          <cell r="G42">
            <v>2.4680000000000001E-2</v>
          </cell>
        </row>
        <row r="43">
          <cell r="F43">
            <v>39</v>
          </cell>
          <cell r="G43">
            <v>2.5080000000000002E-2</v>
          </cell>
        </row>
        <row r="44">
          <cell r="F44">
            <v>40</v>
          </cell>
          <cell r="G44">
            <v>2.547E-2</v>
          </cell>
        </row>
        <row r="45">
          <cell r="F45">
            <v>41</v>
          </cell>
          <cell r="G45">
            <v>2.5839999999999998E-2</v>
          </cell>
        </row>
        <row r="46">
          <cell r="F46">
            <v>42</v>
          </cell>
          <cell r="G46">
            <v>2.6190000000000001E-2</v>
          </cell>
        </row>
        <row r="47">
          <cell r="F47">
            <v>43</v>
          </cell>
          <cell r="G47">
            <v>2.6540000000000001E-2</v>
          </cell>
        </row>
        <row r="48">
          <cell r="F48">
            <v>44</v>
          </cell>
          <cell r="G48">
            <v>2.6870000000000002E-2</v>
          </cell>
        </row>
        <row r="49">
          <cell r="F49">
            <v>45</v>
          </cell>
          <cell r="G49">
            <v>2.7189999999999999E-2</v>
          </cell>
        </row>
        <row r="50">
          <cell r="F50">
            <v>46</v>
          </cell>
          <cell r="G50">
            <v>2.7490000000000001E-2</v>
          </cell>
        </row>
        <row r="51">
          <cell r="F51">
            <v>47</v>
          </cell>
          <cell r="G51">
            <v>2.7789999999999999E-2</v>
          </cell>
        </row>
        <row r="52">
          <cell r="F52">
            <v>48</v>
          </cell>
          <cell r="G52">
            <v>2.8070000000000001E-2</v>
          </cell>
        </row>
        <row r="53">
          <cell r="F53">
            <v>49</v>
          </cell>
          <cell r="G53">
            <v>2.8340000000000001E-2</v>
          </cell>
        </row>
        <row r="54">
          <cell r="F54">
            <v>50</v>
          </cell>
          <cell r="G54">
            <v>2.861E-2</v>
          </cell>
        </row>
        <row r="55">
          <cell r="F55">
            <v>51</v>
          </cell>
          <cell r="G55">
            <v>2.886E-2</v>
          </cell>
        </row>
        <row r="56">
          <cell r="F56">
            <v>52</v>
          </cell>
          <cell r="G56">
            <v>2.911E-2</v>
          </cell>
        </row>
        <row r="57">
          <cell r="F57">
            <v>53</v>
          </cell>
          <cell r="G57">
            <v>2.9340000000000001E-2</v>
          </cell>
        </row>
        <row r="58">
          <cell r="F58">
            <v>54</v>
          </cell>
          <cell r="G58">
            <v>2.9569999999999999E-2</v>
          </cell>
        </row>
        <row r="59">
          <cell r="F59">
            <v>55</v>
          </cell>
          <cell r="G59">
            <v>2.9790000000000001E-2</v>
          </cell>
        </row>
        <row r="60">
          <cell r="F60">
            <v>56</v>
          </cell>
          <cell r="G60">
            <v>3.0009999999999998E-2</v>
          </cell>
        </row>
        <row r="61">
          <cell r="F61">
            <v>57</v>
          </cell>
          <cell r="G61">
            <v>3.0210000000000001E-2</v>
          </cell>
        </row>
        <row r="62">
          <cell r="F62">
            <v>58</v>
          </cell>
          <cell r="G62">
            <v>3.041E-2</v>
          </cell>
        </row>
        <row r="63">
          <cell r="F63">
            <v>59</v>
          </cell>
          <cell r="G63">
            <v>3.0609999999999998E-2</v>
          </cell>
        </row>
        <row r="64">
          <cell r="F64">
            <v>60</v>
          </cell>
          <cell r="G64">
            <v>3.0790000000000001E-2</v>
          </cell>
        </row>
        <row r="65">
          <cell r="F65">
            <v>61</v>
          </cell>
          <cell r="G65">
            <v>3.0970000000000001E-2</v>
          </cell>
        </row>
        <row r="66">
          <cell r="F66">
            <v>62</v>
          </cell>
          <cell r="G66">
            <v>3.1150000000000001E-2</v>
          </cell>
        </row>
        <row r="67">
          <cell r="F67">
            <v>63</v>
          </cell>
          <cell r="G67">
            <v>3.1320000000000001E-2</v>
          </cell>
        </row>
        <row r="68">
          <cell r="F68">
            <v>64</v>
          </cell>
          <cell r="G68">
            <v>3.1480000000000001E-2</v>
          </cell>
        </row>
        <row r="69">
          <cell r="F69">
            <v>65</v>
          </cell>
          <cell r="G69">
            <v>3.1640000000000001E-2</v>
          </cell>
        </row>
        <row r="70">
          <cell r="F70">
            <v>66</v>
          </cell>
          <cell r="G70">
            <v>3.1800000000000002E-2</v>
          </cell>
        </row>
        <row r="71">
          <cell r="F71">
            <v>67</v>
          </cell>
          <cell r="G71">
            <v>3.1949999999999999E-2</v>
          </cell>
        </row>
        <row r="72">
          <cell r="F72">
            <v>68</v>
          </cell>
          <cell r="G72">
            <v>3.2099999999999997E-2</v>
          </cell>
        </row>
        <row r="73">
          <cell r="F73">
            <v>69</v>
          </cell>
          <cell r="G73">
            <v>3.2239999999999998E-2</v>
          </cell>
        </row>
        <row r="74">
          <cell r="F74">
            <v>70</v>
          </cell>
          <cell r="G74">
            <v>3.2379999999999999E-2</v>
          </cell>
        </row>
        <row r="75">
          <cell r="F75">
            <v>71</v>
          </cell>
          <cell r="G75">
            <v>3.2509999999999997E-2</v>
          </cell>
        </row>
        <row r="76">
          <cell r="F76">
            <v>72</v>
          </cell>
          <cell r="G76">
            <v>3.2640000000000002E-2</v>
          </cell>
        </row>
        <row r="77">
          <cell r="F77">
            <v>73</v>
          </cell>
          <cell r="G77">
            <v>3.2770000000000001E-2</v>
          </cell>
        </row>
        <row r="78">
          <cell r="F78">
            <v>74</v>
          </cell>
          <cell r="G78">
            <v>3.2890000000000003E-2</v>
          </cell>
        </row>
        <row r="79">
          <cell r="F79">
            <v>75</v>
          </cell>
          <cell r="G79">
            <v>3.3009999999999998E-2</v>
          </cell>
        </row>
        <row r="80">
          <cell r="F80">
            <v>76</v>
          </cell>
          <cell r="G80">
            <v>3.313E-2</v>
          </cell>
        </row>
        <row r="81">
          <cell r="F81">
            <v>77</v>
          </cell>
          <cell r="G81">
            <v>3.3250000000000002E-2</v>
          </cell>
        </row>
        <row r="82">
          <cell r="F82">
            <v>78</v>
          </cell>
          <cell r="G82">
            <v>3.3360000000000001E-2</v>
          </cell>
        </row>
        <row r="83">
          <cell r="F83">
            <v>79</v>
          </cell>
          <cell r="G83">
            <v>3.347E-2</v>
          </cell>
        </row>
        <row r="84">
          <cell r="F84">
            <v>80</v>
          </cell>
          <cell r="G84">
            <v>3.3570000000000003E-2</v>
          </cell>
        </row>
        <row r="85">
          <cell r="F85">
            <v>81</v>
          </cell>
          <cell r="G85">
            <v>3.3680000000000002E-2</v>
          </cell>
        </row>
        <row r="86">
          <cell r="F86">
            <v>82</v>
          </cell>
          <cell r="G86">
            <v>3.3779999999999998E-2</v>
          </cell>
        </row>
        <row r="87">
          <cell r="F87">
            <v>83</v>
          </cell>
          <cell r="G87">
            <v>3.388E-2</v>
          </cell>
        </row>
        <row r="88">
          <cell r="F88">
            <v>84</v>
          </cell>
          <cell r="G88">
            <v>3.397E-2</v>
          </cell>
        </row>
        <row r="89">
          <cell r="F89">
            <v>85</v>
          </cell>
          <cell r="G89">
            <v>3.4070000000000003E-2</v>
          </cell>
        </row>
        <row r="90">
          <cell r="F90">
            <v>86</v>
          </cell>
          <cell r="G90">
            <v>3.4160000000000003E-2</v>
          </cell>
        </row>
        <row r="91">
          <cell r="F91">
            <v>87</v>
          </cell>
          <cell r="G91">
            <v>3.4250000000000003E-2</v>
          </cell>
        </row>
        <row r="92">
          <cell r="F92">
            <v>88</v>
          </cell>
          <cell r="G92">
            <v>3.4340000000000002E-2</v>
          </cell>
        </row>
        <row r="93">
          <cell r="F93">
            <v>89</v>
          </cell>
          <cell r="G93">
            <v>3.4419999999999999E-2</v>
          </cell>
        </row>
        <row r="94">
          <cell r="F94">
            <v>90</v>
          </cell>
          <cell r="G94">
            <v>3.4509999999999999E-2</v>
          </cell>
        </row>
        <row r="95">
          <cell r="F95">
            <v>91</v>
          </cell>
          <cell r="G95">
            <v>3.4590000000000003E-2</v>
          </cell>
        </row>
        <row r="96">
          <cell r="F96">
            <v>92</v>
          </cell>
          <cell r="G96">
            <v>3.4669999999999999E-2</v>
          </cell>
        </row>
        <row r="97">
          <cell r="F97">
            <v>93</v>
          </cell>
          <cell r="G97">
            <v>3.4750000000000003E-2</v>
          </cell>
        </row>
        <row r="98">
          <cell r="F98">
            <v>94</v>
          </cell>
          <cell r="G98">
            <v>3.4819999999999997E-2</v>
          </cell>
        </row>
        <row r="99">
          <cell r="F99">
            <v>95</v>
          </cell>
          <cell r="G99">
            <v>3.49E-2</v>
          </cell>
        </row>
        <row r="100">
          <cell r="F100">
            <v>96</v>
          </cell>
          <cell r="G100">
            <v>3.4970000000000001E-2</v>
          </cell>
        </row>
        <row r="101">
          <cell r="F101">
            <v>97</v>
          </cell>
          <cell r="G101">
            <v>3.5040000000000002E-2</v>
          </cell>
        </row>
        <row r="102">
          <cell r="F102">
            <v>98</v>
          </cell>
          <cell r="G102">
            <v>3.5119999999999998E-2</v>
          </cell>
        </row>
        <row r="103">
          <cell r="F103">
            <v>99</v>
          </cell>
          <cell r="G103">
            <v>3.5180000000000003E-2</v>
          </cell>
        </row>
        <row r="104">
          <cell r="F104">
            <v>100</v>
          </cell>
          <cell r="G104">
            <v>3.5249999999999997E-2</v>
          </cell>
        </row>
        <row r="105">
          <cell r="F105">
            <v>101</v>
          </cell>
          <cell r="G105">
            <v>3.5319999999999997E-2</v>
          </cell>
        </row>
        <row r="106">
          <cell r="F106">
            <v>102</v>
          </cell>
          <cell r="G106">
            <v>3.5380000000000002E-2</v>
          </cell>
        </row>
        <row r="107">
          <cell r="F107">
            <v>103</v>
          </cell>
          <cell r="G107">
            <v>3.5450000000000002E-2</v>
          </cell>
        </row>
        <row r="108">
          <cell r="F108">
            <v>104</v>
          </cell>
          <cell r="G108">
            <v>3.551E-2</v>
          </cell>
        </row>
        <row r="109">
          <cell r="F109">
            <v>105</v>
          </cell>
          <cell r="G109">
            <v>3.5569999999999997E-2</v>
          </cell>
        </row>
        <row r="110">
          <cell r="F110">
            <v>106</v>
          </cell>
          <cell r="G110">
            <v>3.5630000000000002E-2</v>
          </cell>
        </row>
        <row r="111">
          <cell r="F111">
            <v>107</v>
          </cell>
          <cell r="G111">
            <v>3.569E-2</v>
          </cell>
        </row>
        <row r="112">
          <cell r="F112">
            <v>108</v>
          </cell>
          <cell r="G112">
            <v>3.5749999999999997E-2</v>
          </cell>
        </row>
        <row r="113">
          <cell r="F113">
            <v>109</v>
          </cell>
          <cell r="G113">
            <v>3.5810000000000002E-2</v>
          </cell>
        </row>
        <row r="114">
          <cell r="F114">
            <v>110</v>
          </cell>
          <cell r="G114">
            <v>3.5860000000000003E-2</v>
          </cell>
        </row>
        <row r="115">
          <cell r="F115">
            <v>111</v>
          </cell>
          <cell r="G115">
            <v>3.5920000000000001E-2</v>
          </cell>
        </row>
        <row r="116">
          <cell r="F116">
            <v>112</v>
          </cell>
          <cell r="G116">
            <v>3.5970000000000002E-2</v>
          </cell>
        </row>
        <row r="117">
          <cell r="F117">
            <v>113</v>
          </cell>
          <cell r="G117">
            <v>3.603E-2</v>
          </cell>
        </row>
        <row r="118">
          <cell r="F118">
            <v>114</v>
          </cell>
          <cell r="G118">
            <v>3.6080000000000001E-2</v>
          </cell>
        </row>
        <row r="119">
          <cell r="F119">
            <v>115</v>
          </cell>
          <cell r="G119">
            <v>3.6130000000000002E-2</v>
          </cell>
        </row>
        <row r="120">
          <cell r="F120">
            <v>116</v>
          </cell>
          <cell r="G120">
            <v>3.6179999999999997E-2</v>
          </cell>
        </row>
        <row r="121">
          <cell r="F121">
            <v>117</v>
          </cell>
          <cell r="G121">
            <v>3.6229999999999998E-2</v>
          </cell>
        </row>
        <row r="122">
          <cell r="F122">
            <v>118</v>
          </cell>
          <cell r="G122">
            <v>3.628E-2</v>
          </cell>
        </row>
        <row r="123">
          <cell r="F123">
            <v>119</v>
          </cell>
          <cell r="G123">
            <v>3.6330000000000001E-2</v>
          </cell>
        </row>
        <row r="124">
          <cell r="F124">
            <v>120</v>
          </cell>
          <cell r="G124">
            <v>3.637E-2</v>
          </cell>
        </row>
        <row r="125">
          <cell r="F125">
            <v>121</v>
          </cell>
          <cell r="G125">
            <v>3.6420000000000001E-2</v>
          </cell>
        </row>
        <row r="126">
          <cell r="F126">
            <v>122</v>
          </cell>
          <cell r="G126">
            <v>3.6470000000000002E-2</v>
          </cell>
        </row>
        <row r="127">
          <cell r="F127">
            <v>123</v>
          </cell>
          <cell r="G127">
            <v>3.6510000000000001E-2</v>
          </cell>
        </row>
        <row r="128">
          <cell r="F128">
            <v>124</v>
          </cell>
          <cell r="G128">
            <v>3.6560000000000002E-2</v>
          </cell>
        </row>
        <row r="129">
          <cell r="F129">
            <v>125</v>
          </cell>
          <cell r="G129">
            <v>3.6600000000000001E-2</v>
          </cell>
        </row>
        <row r="130">
          <cell r="F130">
            <v>126</v>
          </cell>
          <cell r="G130">
            <v>3.6639999999999999E-2</v>
          </cell>
        </row>
        <row r="131">
          <cell r="F131">
            <v>127</v>
          </cell>
          <cell r="G131">
            <v>3.6679999999999997E-2</v>
          </cell>
        </row>
        <row r="132">
          <cell r="F132">
            <v>128</v>
          </cell>
          <cell r="G132">
            <v>3.6720000000000003E-2</v>
          </cell>
        </row>
        <row r="133">
          <cell r="F133">
            <v>129</v>
          </cell>
          <cell r="G133">
            <v>3.6769999999999997E-2</v>
          </cell>
        </row>
        <row r="134">
          <cell r="F134">
            <v>130</v>
          </cell>
          <cell r="G134">
            <v>3.6810000000000002E-2</v>
          </cell>
        </row>
        <row r="135">
          <cell r="F135">
            <v>131</v>
          </cell>
          <cell r="G135">
            <v>3.6850000000000001E-2</v>
          </cell>
        </row>
        <row r="136">
          <cell r="F136">
            <v>132</v>
          </cell>
          <cell r="G136">
            <v>3.6880000000000003E-2</v>
          </cell>
        </row>
        <row r="137">
          <cell r="F137">
            <v>133</v>
          </cell>
          <cell r="G137">
            <v>3.6920000000000001E-2</v>
          </cell>
        </row>
        <row r="138">
          <cell r="F138">
            <v>134</v>
          </cell>
          <cell r="G138">
            <v>3.696E-2</v>
          </cell>
        </row>
        <row r="139">
          <cell r="F139">
            <v>135</v>
          </cell>
          <cell r="G139">
            <v>3.6999999999999998E-2</v>
          </cell>
        </row>
        <row r="140">
          <cell r="F140">
            <v>136</v>
          </cell>
          <cell r="G140">
            <v>3.703E-2</v>
          </cell>
        </row>
        <row r="141">
          <cell r="F141">
            <v>137</v>
          </cell>
          <cell r="G141">
            <v>3.7069999999999999E-2</v>
          </cell>
        </row>
        <row r="142">
          <cell r="F142">
            <v>138</v>
          </cell>
          <cell r="G142">
            <v>3.7109999999999997E-2</v>
          </cell>
        </row>
        <row r="143">
          <cell r="F143">
            <v>139</v>
          </cell>
          <cell r="G143">
            <v>3.7139999999999999E-2</v>
          </cell>
        </row>
        <row r="144">
          <cell r="F144">
            <v>140</v>
          </cell>
          <cell r="G144">
            <v>3.7179999999999998E-2</v>
          </cell>
        </row>
        <row r="145">
          <cell r="F145">
            <v>141</v>
          </cell>
          <cell r="G145">
            <v>3.721E-2</v>
          </cell>
        </row>
        <row r="146">
          <cell r="F146">
            <v>142</v>
          </cell>
          <cell r="G146">
            <v>3.7240000000000002E-2</v>
          </cell>
        </row>
        <row r="147">
          <cell r="F147">
            <v>143</v>
          </cell>
          <cell r="G147">
            <v>3.7280000000000001E-2</v>
          </cell>
        </row>
        <row r="148">
          <cell r="F148">
            <v>144</v>
          </cell>
          <cell r="G148">
            <v>3.7310000000000003E-2</v>
          </cell>
        </row>
        <row r="149">
          <cell r="F149">
            <v>145</v>
          </cell>
          <cell r="G149">
            <v>3.7339999999999998E-2</v>
          </cell>
        </row>
        <row r="150">
          <cell r="F150">
            <v>146</v>
          </cell>
          <cell r="G150">
            <v>3.737E-2</v>
          </cell>
        </row>
        <row r="151">
          <cell r="F151">
            <v>147</v>
          </cell>
          <cell r="G151">
            <v>3.7409999999999999E-2</v>
          </cell>
        </row>
        <row r="152">
          <cell r="F152">
            <v>148</v>
          </cell>
          <cell r="G152">
            <v>3.7440000000000001E-2</v>
          </cell>
        </row>
        <row r="153">
          <cell r="F153">
            <v>149</v>
          </cell>
          <cell r="G153">
            <v>3.7470000000000003E-2</v>
          </cell>
        </row>
        <row r="154">
          <cell r="F154">
            <v>150</v>
          </cell>
          <cell r="G154">
            <v>3.7499999999999999E-2</v>
          </cell>
        </row>
      </sheetData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.Cash flows discounting tool"/>
      <sheetName val="P.Spot rates"/>
      <sheetName val="P.Illiquidity premiums"/>
    </sheetNames>
    <sheetDataSet>
      <sheetData sheetId="0"/>
      <sheetData sheetId="1">
        <row r="3">
          <cell r="B3" t="str">
            <v>Spot</v>
          </cell>
        </row>
      </sheetData>
      <sheetData sheetId="2">
        <row r="3">
          <cell r="B3" t="str">
            <v>LP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ESE GENERALI"/>
      <sheetName val="ALTRE PASSIVITA'  PAG. 15.1"/>
      <sheetName val="SALDI TECNICI PAG. 16.0"/>
      <sheetName val="SITUAZ.NUMERICA SIN.PAG.19.0"/>
      <sheetName val="SINISTRI TARDIVI   PAG. 20.0"/>
      <sheetName val="MOV.TARDIVI % AI PREMI PAG.20.1"/>
      <sheetName val="RIS.PAG.ES.DIGEN.PERC.PAG.21.0"/>
      <sheetName val="RIS.PAG.ES.TARDIVI PAG.21.1"/>
      <sheetName val="RIS.PAG.ES.PAG.21.2 "/>
      <sheetName val="RIS.SIS.ES.DI ES.PREC.PAG.22.0"/>
      <sheetName val="RIS.SIN.ES.TARDIVI PAG.22.1"/>
      <sheetName val="RIS.SINISTRI ES.PAG.22.2"/>
      <sheetName val="SP.LIQUID.SU RIS.SIN.PAG.23.0"/>
      <sheetName val="RIS.PREMI PAG.24.0"/>
      <sheetName val="RAPP. S-P LORDI IMP.PAG.25.0"/>
      <sheetName val="ONERI ACQ.PROD.ORG.PAG.26.0"/>
      <sheetName val="PROVV.DI ACQ.AMM.PAG.26.1"/>
      <sheetName val="ONERI ACQ.PROD.ORG.PAG.27.0"/>
      <sheetName val="PARTITE TEC.(PERD.SP.)PAG.28.0"/>
      <sheetName val="ONERI PATR.LI E FIN.RI"/>
      <sheetName val="ALTRI ONERI"/>
      <sheetName val="ONERI STRAORDINARI "/>
      <sheetName val="IMPOSTE "/>
      <sheetName val="QUOTE ASS.AL F.DO PAG. 36.0"/>
      <sheetName val="attr.ai rami prov.e on.pag.38.0"/>
      <sheetName val="ATT.AI RAMI PAG. 39.0"/>
      <sheetName val="age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mpa"/>
      <sheetName val="Denunce"/>
      <sheetName val="Riaperture"/>
      <sheetName val="Senza Seguito"/>
      <sheetName val="Costo Medio"/>
      <sheetName val="Frequenze"/>
      <sheetName val="Riserve Stimate"/>
      <sheetName val="Quadratura"/>
    </sheetNames>
    <sheetDataSet>
      <sheetData sheetId="0" refreshError="1">
        <row r="17">
          <cell r="C17">
            <v>39082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C"/>
      <sheetName val="Read-me"/>
      <sheetName val="Corrections"/>
      <sheetName val="Content-S.01.01"/>
      <sheetName val="BI-S.01.02"/>
      <sheetName val="BS-S.02.01"/>
      <sheetName val="OF-B1A-S.23.01"/>
      <sheetName val="TP-E1-S.17.01"/>
      <sheetName val="TP-F1-S.12.01"/>
      <sheetName val="AS-D1-S.06.02"/>
      <sheetName val="AS-D2O-S.08.01"/>
      <sheetName val="SCR-B2A-S.25.01"/>
      <sheetName val="SCR-B2B-S.25.02"/>
      <sheetName val="SCR-B2C-S.25.03"/>
      <sheetName val="SCR-B3A-S.26.01"/>
      <sheetName val="SCR-B3B-S.26.02"/>
      <sheetName val="SCR-B3C-S.26.03"/>
      <sheetName val="SCR-B3D-S.26.04"/>
      <sheetName val="SCR-B3E-S.26-05"/>
      <sheetName val="SCR-B3F-S.27.01"/>
      <sheetName val="SCR-B3G-S.26.06"/>
      <sheetName val="MCR-B4A-S.28.01"/>
      <sheetName val="SCR-B2A Intangible Asset Risk"/>
      <sheetName val="SCR-B3B Parameters"/>
      <sheetName val="SCR-B3C Input Simp"/>
      <sheetName val="SCR-B3D Input Simp"/>
      <sheetName val="SCR-B3D &amp; B3E PremRes"/>
      <sheetName val="SCR-B3D &amp; B3E Geo Div"/>
      <sheetName val="SCR-B3F Input Par"/>
      <sheetName val="SCR-B3G Parameters"/>
      <sheetName val="MCR-B4B-S.28.02"/>
      <sheetName val="MCR-B4 Parameters"/>
      <sheetName val="Diversification"/>
      <sheetName val="Drop-down - Input"/>
      <sheetName val="SCR-B2A-S.25.01 (2)"/>
      <sheetName val="SCR-B2B-S.25.02 (2)"/>
      <sheetName val="SCR-B2C-S.25.03 (2)"/>
      <sheetName val="SCR-B3A-S.26.01 (2)"/>
      <sheetName val="SCR-B3B-S.26.02 (2)"/>
      <sheetName val="SCR-B3C-S.26.03 (2)"/>
      <sheetName val="SCR-B3D-S.26.04 (2)"/>
      <sheetName val="SCR-B3E-S.26-05 (2)"/>
      <sheetName val="SCR-B3F-S.27.01 (2)"/>
      <sheetName val="SCR-B3G-S.26.06 (2)"/>
      <sheetName val="MCR-B4A-S.28.01 (2)"/>
      <sheetName val="MCR-B4B-S.28.02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5">
          <cell r="C25">
            <v>0</v>
          </cell>
        </row>
        <row r="29">
          <cell r="C29">
            <v>0</v>
          </cell>
        </row>
        <row r="35">
          <cell r="C35">
            <v>0</v>
          </cell>
        </row>
        <row r="37">
          <cell r="C37">
            <v>0</v>
          </cell>
        </row>
        <row r="48">
          <cell r="C48">
            <v>0</v>
          </cell>
        </row>
        <row r="49">
          <cell r="C49">
            <v>0</v>
          </cell>
        </row>
        <row r="53">
          <cell r="C53">
            <v>0</v>
          </cell>
        </row>
        <row r="54">
          <cell r="C54">
            <v>0</v>
          </cell>
        </row>
      </sheetData>
      <sheetData sheetId="12"/>
      <sheetData sheetId="13"/>
      <sheetData sheetId="14">
        <row r="14">
          <cell r="C14">
            <v>1549441776.4802911</v>
          </cell>
          <cell r="D14">
            <v>1584216727.5078025</v>
          </cell>
          <cell r="E14">
            <v>1573017574.7375185</v>
          </cell>
          <cell r="F14">
            <v>1603469297.2654684</v>
          </cell>
          <cell r="H14">
            <v>1603469297.2654684</v>
          </cell>
        </row>
        <row r="15">
          <cell r="E15">
            <v>1446548667.3032703</v>
          </cell>
          <cell r="F15">
            <v>1493987826.5545762</v>
          </cell>
          <cell r="H15">
            <v>1493987826.5545762</v>
          </cell>
        </row>
        <row r="18">
          <cell r="D18">
            <v>1584216727.5078025</v>
          </cell>
          <cell r="F18">
            <v>1574087662.3361223</v>
          </cell>
          <cell r="H18">
            <v>1574087662.3361223</v>
          </cell>
        </row>
        <row r="19">
          <cell r="C19">
            <v>23692743.330000002</v>
          </cell>
          <cell r="E19">
            <v>13782068.795061002</v>
          </cell>
        </row>
        <row r="20">
          <cell r="C20">
            <v>0</v>
          </cell>
          <cell r="E20">
            <v>0</v>
          </cell>
        </row>
        <row r="21">
          <cell r="C21">
            <v>0</v>
          </cell>
          <cell r="E21">
            <v>0</v>
          </cell>
        </row>
        <row r="22">
          <cell r="D22">
            <v>0</v>
          </cell>
          <cell r="F22">
            <v>0</v>
          </cell>
          <cell r="H22">
            <v>0</v>
          </cell>
        </row>
        <row r="23">
          <cell r="C23">
            <v>8629344</v>
          </cell>
          <cell r="E23">
            <v>4156755.0048000002</v>
          </cell>
        </row>
        <row r="24">
          <cell r="C24">
            <v>19374.400000000001</v>
          </cell>
          <cell r="E24">
            <v>15112.032000000001</v>
          </cell>
        </row>
        <row r="25">
          <cell r="C25">
            <v>0</v>
          </cell>
          <cell r="E25">
            <v>0</v>
          </cell>
        </row>
        <row r="27">
          <cell r="C27">
            <v>24562872.68</v>
          </cell>
          <cell r="D27">
            <v>1584216727.5078025</v>
          </cell>
          <cell r="E27">
            <v>18422154.509999998</v>
          </cell>
          <cell r="F27">
            <v>1581385485.3007822</v>
          </cell>
          <cell r="H27">
            <v>1581385485.3007822</v>
          </cell>
        </row>
        <row r="30">
          <cell r="C30">
            <v>573905810.0400002</v>
          </cell>
          <cell r="D30">
            <v>1584216727.5078025</v>
          </cell>
          <cell r="E30">
            <v>533906320.49897319</v>
          </cell>
          <cell r="F30">
            <v>1569564158.0297663</v>
          </cell>
          <cell r="H30">
            <v>1569564158.0297663</v>
          </cell>
        </row>
        <row r="33">
          <cell r="C33">
            <v>0</v>
          </cell>
          <cell r="D33">
            <v>0</v>
          </cell>
          <cell r="E33">
            <v>0</v>
          </cell>
          <cell r="F33">
            <v>0</v>
          </cell>
          <cell r="H33">
            <v>0</v>
          </cell>
        </row>
        <row r="34">
          <cell r="C34">
            <v>0</v>
          </cell>
          <cell r="D34">
            <v>0</v>
          </cell>
          <cell r="E34">
            <v>0</v>
          </cell>
          <cell r="F34">
            <v>0</v>
          </cell>
          <cell r="H34">
            <v>0</v>
          </cell>
        </row>
        <row r="35">
          <cell r="C35">
            <v>0</v>
          </cell>
          <cell r="D35">
            <v>0</v>
          </cell>
          <cell r="E35">
            <v>0</v>
          </cell>
          <cell r="F35">
            <v>0</v>
          </cell>
          <cell r="H35">
            <v>0</v>
          </cell>
        </row>
        <row r="37">
          <cell r="C37">
            <v>1606346110.8902912</v>
          </cell>
          <cell r="D37">
            <v>0</v>
          </cell>
          <cell r="G37">
            <v>2359941.5264080055</v>
          </cell>
          <cell r="I37">
            <v>0</v>
          </cell>
        </row>
        <row r="39">
          <cell r="C39">
            <v>0</v>
          </cell>
          <cell r="D39">
            <v>0</v>
          </cell>
          <cell r="G39">
            <v>0</v>
          </cell>
          <cell r="I39">
            <v>0</v>
          </cell>
        </row>
        <row r="41">
          <cell r="C41">
            <v>0</v>
          </cell>
          <cell r="D41">
            <v>0</v>
          </cell>
          <cell r="E41">
            <v>0</v>
          </cell>
          <cell r="F41">
            <v>0</v>
          </cell>
          <cell r="H41">
            <v>0</v>
          </cell>
        </row>
      </sheetData>
      <sheetData sheetId="15"/>
      <sheetData sheetId="16"/>
      <sheetData sheetId="17"/>
      <sheetData sheetId="18"/>
      <sheetData sheetId="19">
        <row r="38">
          <cell r="D38">
            <v>0</v>
          </cell>
          <cell r="E38">
            <v>0</v>
          </cell>
          <cell r="F38">
            <v>0</v>
          </cell>
        </row>
        <row r="39">
          <cell r="D39">
            <v>0</v>
          </cell>
          <cell r="E39">
            <v>0</v>
          </cell>
          <cell r="F39">
            <v>0</v>
          </cell>
        </row>
        <row r="40">
          <cell r="D40">
            <v>0</v>
          </cell>
          <cell r="E40">
            <v>0</v>
          </cell>
          <cell r="F40">
            <v>0</v>
          </cell>
        </row>
        <row r="41">
          <cell r="D41">
            <v>0</v>
          </cell>
          <cell r="E41">
            <v>0</v>
          </cell>
          <cell r="F41">
            <v>0</v>
          </cell>
        </row>
        <row r="42">
          <cell r="D42">
            <v>0</v>
          </cell>
          <cell r="E42">
            <v>0</v>
          </cell>
          <cell r="F42">
            <v>0</v>
          </cell>
        </row>
        <row r="43">
          <cell r="D43">
            <v>0</v>
          </cell>
          <cell r="E43">
            <v>0</v>
          </cell>
          <cell r="F43">
            <v>0</v>
          </cell>
        </row>
        <row r="44">
          <cell r="D44">
            <v>0</v>
          </cell>
          <cell r="E44">
            <v>0</v>
          </cell>
          <cell r="F44">
            <v>0</v>
          </cell>
        </row>
        <row r="45">
          <cell r="D45">
            <v>0</v>
          </cell>
          <cell r="E45">
            <v>0</v>
          </cell>
          <cell r="F45">
            <v>0</v>
          </cell>
        </row>
        <row r="46">
          <cell r="D46">
            <v>0</v>
          </cell>
          <cell r="E46">
            <v>0</v>
          </cell>
          <cell r="F46">
            <v>0</v>
          </cell>
        </row>
        <row r="47">
          <cell r="D47">
            <v>0</v>
          </cell>
          <cell r="E47">
            <v>0</v>
          </cell>
          <cell r="F47">
            <v>0</v>
          </cell>
        </row>
        <row r="48">
          <cell r="D48">
            <v>0</v>
          </cell>
          <cell r="E48">
            <v>0</v>
          </cell>
          <cell r="F48">
            <v>0</v>
          </cell>
        </row>
        <row r="49">
          <cell r="D49">
            <v>0</v>
          </cell>
          <cell r="E49">
            <v>0</v>
          </cell>
          <cell r="F49">
            <v>0</v>
          </cell>
        </row>
        <row r="50">
          <cell r="D50">
            <v>0</v>
          </cell>
          <cell r="E50">
            <v>0</v>
          </cell>
          <cell r="F50">
            <v>0</v>
          </cell>
        </row>
        <row r="51">
          <cell r="D51">
            <v>0</v>
          </cell>
          <cell r="E51">
            <v>0</v>
          </cell>
          <cell r="F51">
            <v>0</v>
          </cell>
        </row>
        <row r="52">
          <cell r="D52">
            <v>0</v>
          </cell>
          <cell r="E52">
            <v>0</v>
          </cell>
          <cell r="F52">
            <v>0</v>
          </cell>
        </row>
        <row r="53">
          <cell r="D53">
            <v>0</v>
          </cell>
          <cell r="E53">
            <v>0</v>
          </cell>
          <cell r="F53">
            <v>0</v>
          </cell>
        </row>
        <row r="54">
          <cell r="D54">
            <v>0</v>
          </cell>
          <cell r="E54">
            <v>0</v>
          </cell>
          <cell r="F54">
            <v>0</v>
          </cell>
        </row>
        <row r="55">
          <cell r="D55">
            <v>0</v>
          </cell>
          <cell r="E55">
            <v>0</v>
          </cell>
          <cell r="F55">
            <v>0</v>
          </cell>
        </row>
        <row r="56">
          <cell r="D56">
            <v>0</v>
          </cell>
          <cell r="E56">
            <v>0</v>
          </cell>
          <cell r="F56">
            <v>0</v>
          </cell>
        </row>
        <row r="57">
          <cell r="D57">
            <v>0</v>
          </cell>
          <cell r="E57">
            <v>0</v>
          </cell>
          <cell r="F57">
            <v>0</v>
          </cell>
        </row>
        <row r="59">
          <cell r="D59">
            <v>0</v>
          </cell>
          <cell r="E59">
            <v>0</v>
          </cell>
        </row>
        <row r="60">
          <cell r="D60">
            <v>0</v>
          </cell>
          <cell r="E60">
            <v>0</v>
          </cell>
        </row>
        <row r="61">
          <cell r="D61">
            <v>0</v>
          </cell>
          <cell r="E61">
            <v>0</v>
          </cell>
        </row>
        <row r="62">
          <cell r="D62">
            <v>0</v>
          </cell>
          <cell r="E62">
            <v>0</v>
          </cell>
        </row>
        <row r="63">
          <cell r="D63">
            <v>0</v>
          </cell>
          <cell r="E63">
            <v>0</v>
          </cell>
        </row>
        <row r="64">
          <cell r="D64">
            <v>0</v>
          </cell>
          <cell r="E64">
            <v>0</v>
          </cell>
        </row>
        <row r="65">
          <cell r="D65">
            <v>0</v>
          </cell>
          <cell r="E65">
            <v>0</v>
          </cell>
        </row>
        <row r="66">
          <cell r="D66">
            <v>0</v>
          </cell>
          <cell r="E66">
            <v>0</v>
          </cell>
        </row>
        <row r="67">
          <cell r="D67">
            <v>0</v>
          </cell>
          <cell r="E67">
            <v>0</v>
          </cell>
        </row>
        <row r="68">
          <cell r="D68">
            <v>0</v>
          </cell>
          <cell r="E68">
            <v>0</v>
          </cell>
        </row>
        <row r="69">
          <cell r="D69">
            <v>0</v>
          </cell>
          <cell r="E69">
            <v>0</v>
          </cell>
        </row>
        <row r="70">
          <cell r="D70">
            <v>0</v>
          </cell>
          <cell r="E70">
            <v>0</v>
          </cell>
        </row>
        <row r="71">
          <cell r="D71">
            <v>0</v>
          </cell>
          <cell r="E71">
            <v>0</v>
          </cell>
        </row>
        <row r="72">
          <cell r="D72">
            <v>0</v>
          </cell>
          <cell r="E72">
            <v>0</v>
          </cell>
        </row>
        <row r="73">
          <cell r="I73">
            <v>0</v>
          </cell>
          <cell r="J73">
            <v>0</v>
          </cell>
          <cell r="K73">
            <v>0</v>
          </cell>
        </row>
        <row r="81">
          <cell r="D81">
            <v>0</v>
          </cell>
          <cell r="E81">
            <v>0</v>
          </cell>
          <cell r="F81">
            <v>0</v>
          </cell>
          <cell r="H81">
            <v>0</v>
          </cell>
          <cell r="I81">
            <v>0</v>
          </cell>
          <cell r="J81">
            <v>0</v>
          </cell>
        </row>
        <row r="82">
          <cell r="D82">
            <v>0</v>
          </cell>
          <cell r="E82">
            <v>0</v>
          </cell>
          <cell r="F82">
            <v>0</v>
          </cell>
          <cell r="H82">
            <v>0</v>
          </cell>
          <cell r="I82">
            <v>0</v>
          </cell>
          <cell r="J82">
            <v>0</v>
          </cell>
        </row>
        <row r="83">
          <cell r="D83">
            <v>0</v>
          </cell>
          <cell r="E83">
            <v>0</v>
          </cell>
          <cell r="F83">
            <v>0</v>
          </cell>
          <cell r="H83">
            <v>0</v>
          </cell>
          <cell r="I83">
            <v>0</v>
          </cell>
          <cell r="J83">
            <v>0</v>
          </cell>
        </row>
        <row r="84">
          <cell r="D84">
            <v>0</v>
          </cell>
          <cell r="E84">
            <v>0</v>
          </cell>
          <cell r="F84">
            <v>0</v>
          </cell>
          <cell r="H84">
            <v>0</v>
          </cell>
          <cell r="I84">
            <v>0</v>
          </cell>
          <cell r="J84">
            <v>0</v>
          </cell>
        </row>
        <row r="85">
          <cell r="D85">
            <v>0</v>
          </cell>
          <cell r="E85">
            <v>0</v>
          </cell>
          <cell r="F85">
            <v>0</v>
          </cell>
          <cell r="H85">
            <v>0</v>
          </cell>
          <cell r="I85">
            <v>0</v>
          </cell>
          <cell r="J85">
            <v>0</v>
          </cell>
        </row>
        <row r="86">
          <cell r="D86">
            <v>0</v>
          </cell>
          <cell r="E86">
            <v>0</v>
          </cell>
          <cell r="F86">
            <v>0</v>
          </cell>
          <cell r="H86">
            <v>0</v>
          </cell>
          <cell r="I86">
            <v>0</v>
          </cell>
          <cell r="J86">
            <v>0</v>
          </cell>
        </row>
        <row r="87">
          <cell r="D87">
            <v>0</v>
          </cell>
          <cell r="E87">
            <v>0</v>
          </cell>
          <cell r="F87">
            <v>0</v>
          </cell>
          <cell r="H87">
            <v>0</v>
          </cell>
          <cell r="I87">
            <v>0</v>
          </cell>
          <cell r="J87">
            <v>0</v>
          </cell>
        </row>
        <row r="88">
          <cell r="D88">
            <v>0</v>
          </cell>
          <cell r="E88">
            <v>0</v>
          </cell>
          <cell r="F88">
            <v>0</v>
          </cell>
          <cell r="H88">
            <v>0</v>
          </cell>
          <cell r="I88">
            <v>0</v>
          </cell>
          <cell r="J88">
            <v>0</v>
          </cell>
        </row>
        <row r="89">
          <cell r="D89">
            <v>0</v>
          </cell>
          <cell r="E89">
            <v>0</v>
          </cell>
          <cell r="F89">
            <v>0</v>
          </cell>
          <cell r="H89">
            <v>0</v>
          </cell>
          <cell r="I89">
            <v>0</v>
          </cell>
          <cell r="J89">
            <v>0</v>
          </cell>
        </row>
        <row r="90">
          <cell r="D90">
            <v>0</v>
          </cell>
          <cell r="E90">
            <v>0</v>
          </cell>
          <cell r="F90">
            <v>0</v>
          </cell>
          <cell r="H90">
            <v>0</v>
          </cell>
          <cell r="I90">
            <v>0</v>
          </cell>
          <cell r="J90">
            <v>0</v>
          </cell>
        </row>
        <row r="91">
          <cell r="D91">
            <v>0</v>
          </cell>
          <cell r="E91">
            <v>0</v>
          </cell>
          <cell r="F91">
            <v>0</v>
          </cell>
          <cell r="H91">
            <v>0</v>
          </cell>
          <cell r="I91">
            <v>0</v>
          </cell>
          <cell r="J91">
            <v>0</v>
          </cell>
        </row>
        <row r="92">
          <cell r="D92">
            <v>0</v>
          </cell>
          <cell r="E92">
            <v>0</v>
          </cell>
          <cell r="F92">
            <v>0</v>
          </cell>
          <cell r="H92">
            <v>0</v>
          </cell>
          <cell r="I92">
            <v>0</v>
          </cell>
          <cell r="J92">
            <v>0</v>
          </cell>
        </row>
        <row r="93">
          <cell r="D93">
            <v>0</v>
          </cell>
          <cell r="E93">
            <v>0</v>
          </cell>
          <cell r="F93">
            <v>0</v>
          </cell>
          <cell r="H93">
            <v>0</v>
          </cell>
          <cell r="I93">
            <v>0</v>
          </cell>
          <cell r="J93">
            <v>0</v>
          </cell>
        </row>
        <row r="94">
          <cell r="D94">
            <v>0</v>
          </cell>
          <cell r="E94">
            <v>0</v>
          </cell>
          <cell r="F94">
            <v>0</v>
          </cell>
          <cell r="H94">
            <v>0</v>
          </cell>
          <cell r="I94">
            <v>0</v>
          </cell>
          <cell r="J94">
            <v>0</v>
          </cell>
        </row>
        <row r="95">
          <cell r="D95">
            <v>0</v>
          </cell>
          <cell r="E95">
            <v>0</v>
          </cell>
          <cell r="F95">
            <v>0</v>
          </cell>
          <cell r="H95">
            <v>0</v>
          </cell>
          <cell r="I95">
            <v>0</v>
          </cell>
          <cell r="J95">
            <v>0</v>
          </cell>
        </row>
        <row r="96">
          <cell r="D96">
            <v>0</v>
          </cell>
          <cell r="E96">
            <v>0</v>
          </cell>
          <cell r="F96">
            <v>0</v>
          </cell>
          <cell r="H96">
            <v>0</v>
          </cell>
          <cell r="I96">
            <v>0</v>
          </cell>
          <cell r="J96">
            <v>0</v>
          </cell>
        </row>
        <row r="97">
          <cell r="D97">
            <v>0</v>
          </cell>
          <cell r="E97">
            <v>0</v>
          </cell>
          <cell r="F97">
            <v>0</v>
          </cell>
          <cell r="H97">
            <v>0</v>
          </cell>
          <cell r="I97">
            <v>0</v>
          </cell>
          <cell r="J97">
            <v>0</v>
          </cell>
        </row>
        <row r="98">
          <cell r="D98">
            <v>0</v>
          </cell>
          <cell r="E98">
            <v>0</v>
          </cell>
          <cell r="F98">
            <v>0</v>
          </cell>
          <cell r="H98">
            <v>0</v>
          </cell>
          <cell r="I98">
            <v>0</v>
          </cell>
          <cell r="J98">
            <v>0</v>
          </cell>
        </row>
        <row r="99">
          <cell r="D99">
            <v>0</v>
          </cell>
          <cell r="E99">
            <v>0</v>
          </cell>
          <cell r="F99">
            <v>0</v>
          </cell>
          <cell r="H99">
            <v>0</v>
          </cell>
          <cell r="I99">
            <v>0</v>
          </cell>
          <cell r="J99">
            <v>0</v>
          </cell>
        </row>
        <row r="100">
          <cell r="D100">
            <v>0</v>
          </cell>
          <cell r="E100">
            <v>0</v>
          </cell>
          <cell r="F100">
            <v>0</v>
          </cell>
          <cell r="H100">
            <v>0</v>
          </cell>
          <cell r="I100">
            <v>0</v>
          </cell>
          <cell r="J100">
            <v>0</v>
          </cell>
        </row>
        <row r="102">
          <cell r="D102">
            <v>0</v>
          </cell>
          <cell r="E102">
            <v>0</v>
          </cell>
        </row>
        <row r="103">
          <cell r="D103">
            <v>0</v>
          </cell>
          <cell r="E103">
            <v>0</v>
          </cell>
        </row>
        <row r="104">
          <cell r="D104">
            <v>0</v>
          </cell>
          <cell r="E104">
            <v>0</v>
          </cell>
        </row>
        <row r="105">
          <cell r="D105">
            <v>0</v>
          </cell>
          <cell r="E105">
            <v>0</v>
          </cell>
        </row>
        <row r="106">
          <cell r="D106">
            <v>0</v>
          </cell>
          <cell r="E106">
            <v>0</v>
          </cell>
        </row>
        <row r="107">
          <cell r="D107">
            <v>0</v>
          </cell>
          <cell r="E107">
            <v>0</v>
          </cell>
        </row>
        <row r="108">
          <cell r="D108">
            <v>0</v>
          </cell>
          <cell r="E108">
            <v>0</v>
          </cell>
        </row>
        <row r="109">
          <cell r="D109">
            <v>0</v>
          </cell>
          <cell r="E109">
            <v>0</v>
          </cell>
        </row>
        <row r="110">
          <cell r="D110">
            <v>0</v>
          </cell>
          <cell r="E110">
            <v>0</v>
          </cell>
        </row>
        <row r="111">
          <cell r="D111">
            <v>0</v>
          </cell>
          <cell r="E111">
            <v>0</v>
          </cell>
        </row>
        <row r="112">
          <cell r="D112">
            <v>0</v>
          </cell>
          <cell r="E112">
            <v>0</v>
          </cell>
        </row>
        <row r="113">
          <cell r="D113">
            <v>0</v>
          </cell>
          <cell r="E113">
            <v>0</v>
          </cell>
        </row>
        <row r="114">
          <cell r="D114">
            <v>0</v>
          </cell>
          <cell r="E114">
            <v>0</v>
          </cell>
        </row>
        <row r="115">
          <cell r="D115">
            <v>0</v>
          </cell>
          <cell r="E115">
            <v>0</v>
          </cell>
        </row>
        <row r="116">
          <cell r="H116">
            <v>0</v>
          </cell>
          <cell r="I116">
            <v>0</v>
          </cell>
          <cell r="J116">
            <v>0</v>
          </cell>
        </row>
        <row r="124">
          <cell r="D124">
            <v>0</v>
          </cell>
          <cell r="E124">
            <v>0</v>
          </cell>
          <cell r="F124">
            <v>0</v>
          </cell>
        </row>
        <row r="125">
          <cell r="D125">
            <v>0</v>
          </cell>
          <cell r="E125">
            <v>0</v>
          </cell>
          <cell r="F125">
            <v>0</v>
          </cell>
        </row>
        <row r="126">
          <cell r="D126">
            <v>0</v>
          </cell>
          <cell r="E126">
            <v>0</v>
          </cell>
          <cell r="F126">
            <v>0</v>
          </cell>
        </row>
        <row r="127">
          <cell r="D127">
            <v>0</v>
          </cell>
          <cell r="E127">
            <v>0</v>
          </cell>
          <cell r="F127">
            <v>0</v>
          </cell>
        </row>
        <row r="128">
          <cell r="D128">
            <v>0</v>
          </cell>
          <cell r="E128">
            <v>0</v>
          </cell>
          <cell r="F128">
            <v>0</v>
          </cell>
        </row>
        <row r="129">
          <cell r="D129">
            <v>0</v>
          </cell>
          <cell r="E129">
            <v>0</v>
          </cell>
          <cell r="F129">
            <v>0</v>
          </cell>
        </row>
        <row r="130">
          <cell r="D130">
            <v>0</v>
          </cell>
          <cell r="E130">
            <v>0</v>
          </cell>
          <cell r="F130">
            <v>0</v>
          </cell>
        </row>
        <row r="131">
          <cell r="D131">
            <v>0</v>
          </cell>
          <cell r="E131">
            <v>0</v>
          </cell>
          <cell r="F131">
            <v>0</v>
          </cell>
        </row>
        <row r="132">
          <cell r="D132">
            <v>0</v>
          </cell>
          <cell r="E132">
            <v>0</v>
          </cell>
          <cell r="F132">
            <v>0</v>
          </cell>
        </row>
        <row r="133">
          <cell r="D133">
            <v>0</v>
          </cell>
          <cell r="E133">
            <v>0</v>
          </cell>
          <cell r="F133">
            <v>0</v>
          </cell>
        </row>
        <row r="134">
          <cell r="D134">
            <v>0</v>
          </cell>
          <cell r="E134">
            <v>0</v>
          </cell>
          <cell r="F134">
            <v>0</v>
          </cell>
        </row>
        <row r="135">
          <cell r="D135">
            <v>0</v>
          </cell>
          <cell r="E135">
            <v>0</v>
          </cell>
          <cell r="F135">
            <v>0</v>
          </cell>
        </row>
        <row r="136">
          <cell r="D136">
            <v>0</v>
          </cell>
          <cell r="E136">
            <v>0</v>
          </cell>
          <cell r="F136">
            <v>0</v>
          </cell>
        </row>
        <row r="137">
          <cell r="D137">
            <v>0</v>
          </cell>
          <cell r="E137">
            <v>0</v>
          </cell>
          <cell r="F137">
            <v>0</v>
          </cell>
        </row>
        <row r="139">
          <cell r="D139">
            <v>0</v>
          </cell>
          <cell r="E139">
            <v>0</v>
          </cell>
        </row>
        <row r="140">
          <cell r="D140">
            <v>0</v>
          </cell>
          <cell r="E140">
            <v>0</v>
          </cell>
        </row>
        <row r="141">
          <cell r="D141">
            <v>0</v>
          </cell>
          <cell r="E141">
            <v>0</v>
          </cell>
        </row>
        <row r="142">
          <cell r="D142">
            <v>0</v>
          </cell>
          <cell r="E142">
            <v>0</v>
          </cell>
        </row>
        <row r="143">
          <cell r="D143">
            <v>0</v>
          </cell>
          <cell r="E143">
            <v>0</v>
          </cell>
        </row>
        <row r="144">
          <cell r="D144">
            <v>0</v>
          </cell>
          <cell r="E144">
            <v>0</v>
          </cell>
        </row>
        <row r="145">
          <cell r="D145">
            <v>0</v>
          </cell>
          <cell r="E145">
            <v>0</v>
          </cell>
        </row>
        <row r="146">
          <cell r="D146">
            <v>0</v>
          </cell>
          <cell r="E146">
            <v>0</v>
          </cell>
        </row>
        <row r="147">
          <cell r="D147">
            <v>0</v>
          </cell>
          <cell r="E147">
            <v>0</v>
          </cell>
        </row>
        <row r="148">
          <cell r="D148">
            <v>0</v>
          </cell>
          <cell r="E148">
            <v>0</v>
          </cell>
        </row>
        <row r="149">
          <cell r="D149">
            <v>0</v>
          </cell>
          <cell r="E149">
            <v>0</v>
          </cell>
        </row>
        <row r="150">
          <cell r="D150">
            <v>0</v>
          </cell>
          <cell r="E150">
            <v>0</v>
          </cell>
        </row>
        <row r="151">
          <cell r="D151">
            <v>0</v>
          </cell>
          <cell r="E151">
            <v>0</v>
          </cell>
        </row>
        <row r="152">
          <cell r="D152">
            <v>0</v>
          </cell>
          <cell r="E152">
            <v>0</v>
          </cell>
        </row>
        <row r="153">
          <cell r="I153">
            <v>0</v>
          </cell>
          <cell r="J153">
            <v>0</v>
          </cell>
          <cell r="K153">
            <v>0</v>
          </cell>
        </row>
        <row r="161">
          <cell r="D161">
            <v>0</v>
          </cell>
          <cell r="E161">
            <v>0</v>
          </cell>
          <cell r="F161">
            <v>0</v>
          </cell>
        </row>
        <row r="162">
          <cell r="D162">
            <v>0</v>
          </cell>
          <cell r="E162">
            <v>0</v>
          </cell>
          <cell r="F162">
            <v>0</v>
          </cell>
        </row>
        <row r="163">
          <cell r="D163">
            <v>0</v>
          </cell>
          <cell r="E163">
            <v>0</v>
          </cell>
          <cell r="F163">
            <v>0</v>
          </cell>
        </row>
        <row r="164">
          <cell r="D164">
            <v>0</v>
          </cell>
          <cell r="E164">
            <v>0</v>
          </cell>
          <cell r="F164">
            <v>0</v>
          </cell>
        </row>
        <row r="165">
          <cell r="D165">
            <v>0</v>
          </cell>
          <cell r="E165">
            <v>0</v>
          </cell>
          <cell r="F165">
            <v>0</v>
          </cell>
        </row>
        <row r="166">
          <cell r="D166">
            <v>0</v>
          </cell>
          <cell r="E166">
            <v>0</v>
          </cell>
          <cell r="F166">
            <v>0</v>
          </cell>
        </row>
        <row r="167">
          <cell r="D167">
            <v>0</v>
          </cell>
          <cell r="E167">
            <v>0</v>
          </cell>
          <cell r="F167">
            <v>0</v>
          </cell>
        </row>
        <row r="168">
          <cell r="D168">
            <v>0</v>
          </cell>
          <cell r="E168">
            <v>0</v>
          </cell>
          <cell r="F168">
            <v>0</v>
          </cell>
        </row>
        <row r="169">
          <cell r="D169">
            <v>0</v>
          </cell>
          <cell r="E169">
            <v>0</v>
          </cell>
          <cell r="F169">
            <v>0</v>
          </cell>
        </row>
        <row r="171">
          <cell r="D171">
            <v>0</v>
          </cell>
          <cell r="E171">
            <v>0</v>
          </cell>
        </row>
        <row r="172">
          <cell r="D172">
            <v>0</v>
          </cell>
          <cell r="E172">
            <v>0</v>
          </cell>
        </row>
        <row r="173">
          <cell r="D173">
            <v>0</v>
          </cell>
          <cell r="E173">
            <v>0</v>
          </cell>
        </row>
        <row r="174">
          <cell r="D174">
            <v>0</v>
          </cell>
          <cell r="E174">
            <v>0</v>
          </cell>
        </row>
        <row r="175">
          <cell r="D175">
            <v>0</v>
          </cell>
          <cell r="E175">
            <v>0</v>
          </cell>
        </row>
        <row r="176">
          <cell r="D176">
            <v>0</v>
          </cell>
          <cell r="E176">
            <v>0</v>
          </cell>
        </row>
        <row r="177">
          <cell r="D177">
            <v>0</v>
          </cell>
          <cell r="E177">
            <v>0</v>
          </cell>
        </row>
        <row r="178">
          <cell r="D178">
            <v>0</v>
          </cell>
          <cell r="E178">
            <v>0</v>
          </cell>
        </row>
        <row r="179">
          <cell r="D179">
            <v>0</v>
          </cell>
          <cell r="E179">
            <v>0</v>
          </cell>
        </row>
        <row r="180">
          <cell r="D180">
            <v>0</v>
          </cell>
          <cell r="E180">
            <v>0</v>
          </cell>
        </row>
        <row r="181">
          <cell r="D181">
            <v>0</v>
          </cell>
          <cell r="E181">
            <v>0</v>
          </cell>
        </row>
        <row r="182">
          <cell r="D182">
            <v>0</v>
          </cell>
          <cell r="E182">
            <v>0</v>
          </cell>
        </row>
        <row r="183">
          <cell r="D183">
            <v>0</v>
          </cell>
          <cell r="E183">
            <v>0</v>
          </cell>
        </row>
        <row r="184">
          <cell r="D184">
            <v>0</v>
          </cell>
          <cell r="E184">
            <v>0</v>
          </cell>
        </row>
        <row r="185">
          <cell r="I185">
            <v>0</v>
          </cell>
          <cell r="J185">
            <v>0</v>
          </cell>
          <cell r="K185">
            <v>0</v>
          </cell>
        </row>
        <row r="194">
          <cell r="D194">
            <v>0</v>
          </cell>
          <cell r="E194">
            <v>0</v>
          </cell>
          <cell r="F194">
            <v>0</v>
          </cell>
          <cell r="I194">
            <v>0</v>
          </cell>
          <cell r="J194">
            <v>0</v>
          </cell>
        </row>
        <row r="195">
          <cell r="H195">
            <v>0</v>
          </cell>
          <cell r="K195">
            <v>0</v>
          </cell>
        </row>
        <row r="200">
          <cell r="D200">
            <v>0</v>
          </cell>
          <cell r="E200">
            <v>0</v>
          </cell>
          <cell r="F200">
            <v>0</v>
          </cell>
          <cell r="G200">
            <v>0</v>
          </cell>
        </row>
        <row r="205">
          <cell r="C205">
            <v>0</v>
          </cell>
          <cell r="D205">
            <v>0</v>
          </cell>
          <cell r="F205">
            <v>0</v>
          </cell>
          <cell r="G205">
            <v>0</v>
          </cell>
        </row>
        <row r="210">
          <cell r="D210">
            <v>0</v>
          </cell>
          <cell r="E210">
            <v>0</v>
          </cell>
          <cell r="F210">
            <v>0</v>
          </cell>
          <cell r="H210">
            <v>0</v>
          </cell>
          <cell r="I210">
            <v>0</v>
          </cell>
          <cell r="K210">
            <v>0</v>
          </cell>
        </row>
        <row r="215"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J215">
            <v>0</v>
          </cell>
          <cell r="K215">
            <v>0</v>
          </cell>
          <cell r="M215">
            <v>0</v>
          </cell>
        </row>
        <row r="228">
          <cell r="D228">
            <v>0</v>
          </cell>
          <cell r="E228">
            <v>0</v>
          </cell>
          <cell r="G228">
            <v>0</v>
          </cell>
          <cell r="H228">
            <v>0</v>
          </cell>
        </row>
        <row r="233">
          <cell r="C233">
            <v>0</v>
          </cell>
          <cell r="D233">
            <v>0</v>
          </cell>
          <cell r="E233">
            <v>0</v>
          </cell>
        </row>
        <row r="238"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</row>
        <row r="239"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</row>
        <row r="240"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</row>
        <row r="241"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</row>
        <row r="242"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</row>
        <row r="256">
          <cell r="D256">
            <v>0</v>
          </cell>
          <cell r="E256">
            <v>0</v>
          </cell>
          <cell r="G256">
            <v>0</v>
          </cell>
          <cell r="H256">
            <v>0</v>
          </cell>
        </row>
        <row r="257">
          <cell r="D257">
            <v>0</v>
          </cell>
          <cell r="E257">
            <v>0</v>
          </cell>
          <cell r="G257">
            <v>0</v>
          </cell>
          <cell r="H257">
            <v>0</v>
          </cell>
        </row>
        <row r="262">
          <cell r="D262">
            <v>0</v>
          </cell>
          <cell r="F262">
            <v>0</v>
          </cell>
          <cell r="G262">
            <v>0</v>
          </cell>
        </row>
        <row r="287"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</row>
        <row r="288"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</row>
        <row r="289"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</row>
        <row r="290"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</row>
        <row r="291"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</row>
        <row r="292"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</row>
        <row r="293"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</row>
        <row r="294"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</row>
        <row r="295"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</row>
        <row r="296"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</row>
        <row r="297"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</row>
        <row r="298"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</row>
        <row r="299"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</row>
        <row r="300"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</row>
        <row r="301"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</row>
        <row r="302"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</row>
        <row r="303"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</row>
        <row r="304"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</row>
        <row r="305"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</row>
        <row r="306"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</row>
        <row r="307"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</row>
        <row r="308"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</row>
        <row r="309"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</row>
        <row r="310"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</row>
        <row r="311"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</row>
        <row r="312"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</row>
        <row r="313"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</row>
        <row r="314"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</row>
        <row r="315"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</row>
        <row r="316"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</row>
        <row r="317"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</row>
        <row r="326"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</row>
        <row r="327"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</row>
        <row r="328"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</row>
        <row r="329"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</row>
        <row r="330"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</row>
        <row r="331"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</row>
        <row r="332"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</row>
        <row r="333"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</row>
        <row r="334"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</row>
        <row r="335"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</row>
        <row r="336"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</row>
        <row r="337"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</row>
        <row r="338"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</row>
        <row r="339"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</row>
        <row r="340"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</row>
        <row r="341"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</row>
        <row r="342"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</row>
        <row r="343"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</row>
        <row r="344"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</row>
        <row r="345"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</row>
        <row r="346"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</row>
        <row r="347"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</row>
        <row r="348"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</row>
        <row r="349"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</row>
        <row r="350"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</row>
        <row r="351"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</row>
        <row r="352"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</row>
        <row r="353"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</row>
        <row r="354"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</row>
        <row r="355"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</row>
        <row r="356"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</row>
        <row r="364"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D395">
            <v>0</v>
          </cell>
          <cell r="E395">
            <v>0</v>
          </cell>
          <cell r="N395">
            <v>0</v>
          </cell>
          <cell r="O395">
            <v>0</v>
          </cell>
        </row>
      </sheetData>
      <sheetData sheetId="20">
        <row r="6">
          <cell r="C6">
            <v>1593122043.5530357</v>
          </cell>
        </row>
        <row r="7">
          <cell r="C7">
            <v>1040799.8891024598</v>
          </cell>
        </row>
        <row r="8">
          <cell r="C8">
            <v>0</v>
          </cell>
        </row>
        <row r="11">
          <cell r="C11">
            <v>383523001</v>
          </cell>
        </row>
        <row r="12">
          <cell r="C12">
            <v>543003.29999999993</v>
          </cell>
        </row>
        <row r="13">
          <cell r="C13">
            <v>0</v>
          </cell>
        </row>
        <row r="14">
          <cell r="C14">
            <v>376174353</v>
          </cell>
        </row>
        <row r="15">
          <cell r="C15">
            <v>475342.08000000002</v>
          </cell>
        </row>
        <row r="16">
          <cell r="C16">
            <v>0</v>
          </cell>
        </row>
        <row r="23">
          <cell r="C23">
            <v>952000</v>
          </cell>
        </row>
      </sheetData>
      <sheetData sheetId="21">
        <row r="8">
          <cell r="E8">
            <v>0</v>
          </cell>
          <cell r="F8">
            <v>0</v>
          </cell>
        </row>
        <row r="9">
          <cell r="E9">
            <v>0</v>
          </cell>
          <cell r="F9">
            <v>0</v>
          </cell>
        </row>
        <row r="10">
          <cell r="E10">
            <v>0</v>
          </cell>
          <cell r="F10">
            <v>0</v>
          </cell>
        </row>
        <row r="11">
          <cell r="E11">
            <v>0</v>
          </cell>
          <cell r="F11">
            <v>0</v>
          </cell>
        </row>
        <row r="12">
          <cell r="E12">
            <v>0</v>
          </cell>
          <cell r="F12">
            <v>0</v>
          </cell>
        </row>
        <row r="13">
          <cell r="E13">
            <v>0</v>
          </cell>
          <cell r="F13">
            <v>0</v>
          </cell>
        </row>
        <row r="14">
          <cell r="E14">
            <v>0</v>
          </cell>
          <cell r="F14">
            <v>0</v>
          </cell>
        </row>
        <row r="15">
          <cell r="E15">
            <v>0</v>
          </cell>
          <cell r="F15">
            <v>0</v>
          </cell>
        </row>
        <row r="16">
          <cell r="E16">
            <v>0</v>
          </cell>
          <cell r="F16">
            <v>0</v>
          </cell>
        </row>
        <row r="17">
          <cell r="E17">
            <v>0</v>
          </cell>
          <cell r="F17">
            <v>0</v>
          </cell>
        </row>
        <row r="18">
          <cell r="E18">
            <v>0</v>
          </cell>
          <cell r="F18">
            <v>0</v>
          </cell>
        </row>
        <row r="19">
          <cell r="E19">
            <v>0</v>
          </cell>
          <cell r="F19">
            <v>0</v>
          </cell>
        </row>
        <row r="20">
          <cell r="E20">
            <v>0</v>
          </cell>
          <cell r="F20">
            <v>0</v>
          </cell>
        </row>
        <row r="21">
          <cell r="E21">
            <v>0</v>
          </cell>
          <cell r="F21">
            <v>0</v>
          </cell>
        </row>
        <row r="22">
          <cell r="E22">
            <v>0</v>
          </cell>
          <cell r="F22">
            <v>0</v>
          </cell>
        </row>
        <row r="23">
          <cell r="E23">
            <v>0</v>
          </cell>
          <cell r="F23">
            <v>0</v>
          </cell>
        </row>
        <row r="29">
          <cell r="E29">
            <v>1489909335.8485491</v>
          </cell>
        </row>
        <row r="30">
          <cell r="E30">
            <v>94307391.659253359</v>
          </cell>
        </row>
        <row r="31">
          <cell r="E31">
            <v>1040799.8891024598</v>
          </cell>
        </row>
        <row r="32">
          <cell r="E32">
            <v>6799331.5259514591</v>
          </cell>
        </row>
        <row r="33">
          <cell r="F33">
            <v>539860422.05096734</v>
          </cell>
        </row>
      </sheetData>
      <sheetData sheetId="22"/>
      <sheetData sheetId="23"/>
      <sheetData sheetId="24">
        <row r="6">
          <cell r="C6">
            <v>6799331.5259514591</v>
          </cell>
          <cell r="D6">
            <v>6799331.5259514591</v>
          </cell>
          <cell r="E6">
            <v>6799331.5259514591</v>
          </cell>
          <cell r="F6">
            <v>8780603.9606077261</v>
          </cell>
          <cell r="H6">
            <v>8780603.9606077261</v>
          </cell>
          <cell r="J6">
            <v>0</v>
          </cell>
          <cell r="K6">
            <v>0</v>
          </cell>
        </row>
        <row r="7">
          <cell r="C7">
            <v>0</v>
          </cell>
          <cell r="D7">
            <v>0</v>
          </cell>
          <cell r="E7">
            <v>0</v>
          </cell>
          <cell r="F7">
            <v>0</v>
          </cell>
          <cell r="H7">
            <v>0</v>
          </cell>
          <cell r="J7">
            <v>0</v>
          </cell>
          <cell r="K7">
            <v>0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H8">
            <v>0</v>
          </cell>
          <cell r="J8">
            <v>0</v>
          </cell>
          <cell r="K8">
            <v>0</v>
          </cell>
        </row>
        <row r="10">
          <cell r="C10">
            <v>0</v>
          </cell>
          <cell r="D10">
            <v>0</v>
          </cell>
          <cell r="E10">
            <v>0</v>
          </cell>
          <cell r="F10">
            <v>0</v>
          </cell>
          <cell r="H10">
            <v>0</v>
          </cell>
          <cell r="J10">
            <v>0</v>
          </cell>
          <cell r="K10">
            <v>0</v>
          </cell>
        </row>
        <row r="11">
          <cell r="C11">
            <v>1592056858.9228563</v>
          </cell>
          <cell r="D11">
            <v>1592056858.9228563</v>
          </cell>
          <cell r="E11">
            <v>1592056858.9228563</v>
          </cell>
          <cell r="F11">
            <v>1600018841.1046498</v>
          </cell>
          <cell r="H11">
            <v>1600018841.1046498</v>
          </cell>
          <cell r="J11">
            <v>0</v>
          </cell>
          <cell r="K11">
            <v>0</v>
          </cell>
        </row>
        <row r="12">
          <cell r="C12">
            <v>0</v>
          </cell>
          <cell r="D12">
            <v>0</v>
          </cell>
          <cell r="E12">
            <v>0</v>
          </cell>
          <cell r="F12">
            <v>0</v>
          </cell>
          <cell r="H12">
            <v>0</v>
          </cell>
        </row>
        <row r="13">
          <cell r="C13">
            <v>1592056858.9228563</v>
          </cell>
          <cell r="D13">
            <v>1592056858.9228563</v>
          </cell>
          <cell r="E13">
            <v>1592056858.9228563</v>
          </cell>
          <cell r="F13">
            <v>1594164884.109349</v>
          </cell>
          <cell r="H13">
            <v>1594164884.109349</v>
          </cell>
          <cell r="J13">
            <v>0</v>
          </cell>
          <cell r="K13">
            <v>0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H14">
            <v>0</v>
          </cell>
          <cell r="M14">
            <v>0</v>
          </cell>
          <cell r="N14">
            <v>0</v>
          </cell>
          <cell r="P14">
            <v>0</v>
          </cell>
        </row>
        <row r="15">
          <cell r="C15">
            <v>6799331.5259514591</v>
          </cell>
          <cell r="D15">
            <v>6799331.5259514591</v>
          </cell>
          <cell r="E15">
            <v>6799331.5259514591</v>
          </cell>
          <cell r="F15">
            <v>7955940.6725696567</v>
          </cell>
          <cell r="H15">
            <v>7955940.6725696567</v>
          </cell>
          <cell r="J15">
            <v>0</v>
          </cell>
          <cell r="K15">
            <v>0</v>
          </cell>
        </row>
        <row r="20">
          <cell r="C20">
            <v>0</v>
          </cell>
        </row>
      </sheetData>
      <sheetData sheetId="25">
        <row r="6">
          <cell r="C6">
            <v>0</v>
          </cell>
          <cell r="D6">
            <v>0</v>
          </cell>
          <cell r="E6">
            <v>0</v>
          </cell>
          <cell r="F6">
            <v>0</v>
          </cell>
          <cell r="H6">
            <v>0</v>
          </cell>
          <cell r="J6">
            <v>0</v>
          </cell>
          <cell r="K6">
            <v>0</v>
          </cell>
        </row>
        <row r="7">
          <cell r="C7">
            <v>0</v>
          </cell>
          <cell r="D7">
            <v>0</v>
          </cell>
          <cell r="E7">
            <v>0</v>
          </cell>
          <cell r="F7">
            <v>0</v>
          </cell>
          <cell r="H7">
            <v>0</v>
          </cell>
          <cell r="J7">
            <v>0</v>
          </cell>
          <cell r="K7">
            <v>0</v>
          </cell>
        </row>
        <row r="9">
          <cell r="C9">
            <v>0</v>
          </cell>
          <cell r="D9">
            <v>0</v>
          </cell>
        </row>
        <row r="10">
          <cell r="E10">
            <v>0</v>
          </cell>
          <cell r="F10">
            <v>0</v>
          </cell>
          <cell r="H10">
            <v>0</v>
          </cell>
        </row>
        <row r="11">
          <cell r="E11">
            <v>0</v>
          </cell>
          <cell r="F11">
            <v>0</v>
          </cell>
          <cell r="H11">
            <v>0</v>
          </cell>
        </row>
        <row r="12">
          <cell r="C12">
            <v>0</v>
          </cell>
          <cell r="D12">
            <v>0</v>
          </cell>
          <cell r="E12">
            <v>0</v>
          </cell>
          <cell r="F12">
            <v>0</v>
          </cell>
          <cell r="H12">
            <v>0</v>
          </cell>
          <cell r="J12">
            <v>0</v>
          </cell>
          <cell r="K12">
            <v>0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H14">
            <v>0</v>
          </cell>
          <cell r="J14">
            <v>0</v>
          </cell>
          <cell r="K14">
            <v>0</v>
          </cell>
        </row>
        <row r="15">
          <cell r="C15">
            <v>0</v>
          </cell>
          <cell r="D15">
            <v>0</v>
          </cell>
          <cell r="E15">
            <v>0</v>
          </cell>
          <cell r="F15">
            <v>0</v>
          </cell>
          <cell r="H15">
            <v>0</v>
          </cell>
          <cell r="J15">
            <v>0</v>
          </cell>
          <cell r="K15">
            <v>0</v>
          </cell>
        </row>
        <row r="16">
          <cell r="C16">
            <v>0</v>
          </cell>
          <cell r="D16">
            <v>0</v>
          </cell>
          <cell r="E16">
            <v>0</v>
          </cell>
          <cell r="F16">
            <v>0</v>
          </cell>
          <cell r="H16">
            <v>0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H17">
            <v>0</v>
          </cell>
          <cell r="J17">
            <v>0</v>
          </cell>
          <cell r="K17">
            <v>0</v>
          </cell>
        </row>
        <row r="18">
          <cell r="C18">
            <v>0</v>
          </cell>
          <cell r="D18">
            <v>0</v>
          </cell>
          <cell r="E18">
            <v>0</v>
          </cell>
          <cell r="F18">
            <v>0</v>
          </cell>
          <cell r="H18">
            <v>0</v>
          </cell>
          <cell r="M18">
            <v>0</v>
          </cell>
          <cell r="N18">
            <v>0</v>
          </cell>
          <cell r="P18">
            <v>0</v>
          </cell>
        </row>
        <row r="23">
          <cell r="C23">
            <v>0</v>
          </cell>
        </row>
      </sheetData>
      <sheetData sheetId="26">
        <row r="8">
          <cell r="F8">
            <v>0</v>
          </cell>
        </row>
        <row r="9">
          <cell r="F9">
            <v>0</v>
          </cell>
        </row>
        <row r="10">
          <cell r="F10">
            <v>0</v>
          </cell>
        </row>
        <row r="11">
          <cell r="F11">
            <v>0</v>
          </cell>
        </row>
        <row r="14">
          <cell r="F14">
            <v>0</v>
          </cell>
        </row>
        <row r="15">
          <cell r="F15">
            <v>0</v>
          </cell>
        </row>
        <row r="16">
          <cell r="F16">
            <v>0</v>
          </cell>
        </row>
        <row r="17">
          <cell r="F17">
            <v>0</v>
          </cell>
        </row>
        <row r="18">
          <cell r="F18">
            <v>0</v>
          </cell>
        </row>
        <row r="19">
          <cell r="F19">
            <v>0</v>
          </cell>
        </row>
        <row r="20">
          <cell r="F20">
            <v>0</v>
          </cell>
        </row>
        <row r="21">
          <cell r="F21">
            <v>0</v>
          </cell>
        </row>
        <row r="22">
          <cell r="F22">
            <v>0</v>
          </cell>
        </row>
        <row r="23">
          <cell r="F23">
            <v>0</v>
          </cell>
        </row>
        <row r="24">
          <cell r="F24">
            <v>0</v>
          </cell>
        </row>
        <row r="25">
          <cell r="F25">
            <v>0</v>
          </cell>
        </row>
      </sheetData>
      <sheetData sheetId="27">
        <row r="48"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</row>
        <row r="49"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</row>
        <row r="50"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</row>
        <row r="51"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</row>
        <row r="52"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</row>
        <row r="53"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</row>
        <row r="54"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</row>
        <row r="55"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</row>
        <row r="56"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</row>
        <row r="57"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</row>
        <row r="58"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</row>
        <row r="59"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</row>
        <row r="60"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</row>
        <row r="61"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</row>
        <row r="62"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</row>
        <row r="63"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</row>
        <row r="67"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</row>
        <row r="68"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</row>
        <row r="69"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</row>
        <row r="70"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</row>
        <row r="71"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</row>
        <row r="72"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</row>
        <row r="73"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</row>
        <row r="74"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</row>
        <row r="75"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</row>
        <row r="76"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</row>
        <row r="77"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</row>
        <row r="78"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</row>
        <row r="79"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</row>
        <row r="80"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</row>
        <row r="81"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</row>
        <row r="82"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</row>
        <row r="86"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</row>
        <row r="87"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</row>
        <row r="88"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</row>
        <row r="89"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</row>
        <row r="90"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</row>
        <row r="91"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</row>
        <row r="92"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</row>
        <row r="93"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</row>
        <row r="94"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</row>
        <row r="95"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</row>
        <row r="96"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</row>
        <row r="97"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</row>
        <row r="98"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</row>
        <row r="99"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</row>
        <row r="100"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</row>
        <row r="101"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</row>
        <row r="105"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</row>
        <row r="106"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</row>
        <row r="107"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</row>
        <row r="108"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</row>
        <row r="109"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</row>
        <row r="110"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</row>
        <row r="111"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</row>
        <row r="112"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</row>
        <row r="113"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</row>
        <row r="114"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</row>
        <row r="115"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</row>
        <row r="116"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</row>
        <row r="117"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</row>
        <row r="118"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</row>
        <row r="119"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</row>
        <row r="120"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</row>
        <row r="124"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</row>
        <row r="125"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</row>
        <row r="126"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</row>
        <row r="127"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</row>
        <row r="128"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</row>
        <row r="129"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</row>
        <row r="130"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</row>
        <row r="131"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</row>
        <row r="132"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</row>
        <row r="133"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</row>
        <row r="134"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</row>
        <row r="135"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</row>
        <row r="136"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</row>
        <row r="137"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</row>
        <row r="138"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</row>
        <row r="139"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</row>
        <row r="143"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</row>
        <row r="144"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</row>
        <row r="145"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</row>
        <row r="146"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</row>
        <row r="147"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</row>
        <row r="148"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</row>
        <row r="149"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</row>
        <row r="150"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</row>
        <row r="151"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</row>
        <row r="152"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</row>
        <row r="153"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</row>
        <row r="154"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</row>
        <row r="155"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</row>
        <row r="156"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</row>
        <row r="157"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</row>
        <row r="158"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</row>
        <row r="162"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</row>
        <row r="163"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</row>
        <row r="164"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</row>
        <row r="165"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</row>
        <row r="166"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</row>
        <row r="167"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</row>
        <row r="168"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</row>
        <row r="169"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</row>
        <row r="170"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</row>
        <row r="171"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</row>
        <row r="172"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</row>
        <row r="173"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</row>
        <row r="174"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</row>
        <row r="175"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</row>
        <row r="176"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</row>
        <row r="177"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</row>
        <row r="181"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</row>
        <row r="182"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</row>
        <row r="183"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</row>
        <row r="184"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</row>
        <row r="185"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</row>
        <row r="186"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</row>
        <row r="187"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</row>
        <row r="188"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</row>
        <row r="189"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</row>
        <row r="190"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</row>
        <row r="191"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</row>
        <row r="192"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</row>
        <row r="193"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</row>
        <row r="194"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</row>
        <row r="195"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</row>
        <row r="196"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</row>
        <row r="200"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</row>
        <row r="201"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</row>
        <row r="202"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</row>
        <row r="203"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</row>
        <row r="204"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</row>
        <row r="205"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</row>
        <row r="206"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</row>
        <row r="207"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</row>
        <row r="208"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</row>
        <row r="209"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</row>
        <row r="210"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</row>
        <row r="211"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</row>
        <row r="212"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</row>
        <row r="213"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</row>
        <row r="214"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</row>
        <row r="215"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</row>
        <row r="219"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</row>
        <row r="220"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</row>
        <row r="221"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</row>
        <row r="222"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</row>
        <row r="223"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</row>
        <row r="224"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</row>
        <row r="225"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</row>
        <row r="226"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</row>
        <row r="227"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</row>
        <row r="228"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</row>
        <row r="229"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</row>
        <row r="230"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</row>
        <row r="231"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</row>
        <row r="232"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</row>
        <row r="233"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</row>
        <row r="234"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</row>
        <row r="238"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</row>
        <row r="239"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</row>
        <row r="240"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</row>
        <row r="241"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</row>
        <row r="242"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</row>
        <row r="243"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</row>
        <row r="244"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</row>
        <row r="245"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</row>
        <row r="246"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</row>
        <row r="247"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</row>
        <row r="248"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</row>
        <row r="249"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</row>
        <row r="250"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</row>
        <row r="251"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</row>
        <row r="252"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</row>
        <row r="253"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</row>
        <row r="257"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</row>
        <row r="258"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</row>
        <row r="259"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</row>
        <row r="260"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</row>
        <row r="261"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</row>
        <row r="262"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</row>
        <row r="263"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</row>
        <row r="264"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</row>
        <row r="265"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</row>
        <row r="266"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</row>
        <row r="267"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</row>
        <row r="268"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</row>
        <row r="269"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</row>
        <row r="270"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</row>
        <row r="271"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</row>
        <row r="272"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</row>
        <row r="276"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</row>
        <row r="277"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</row>
        <row r="278"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</row>
        <row r="279"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</row>
        <row r="280"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</row>
        <row r="281"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</row>
        <row r="282"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</row>
        <row r="283"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</row>
        <row r="284"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</row>
        <row r="285"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</row>
        <row r="286"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</row>
        <row r="287"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</row>
        <row r="288"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</row>
        <row r="289"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</row>
        <row r="290"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</row>
        <row r="291"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</row>
        <row r="295"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</row>
        <row r="296"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</row>
        <row r="297"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</row>
        <row r="298"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</row>
        <row r="299"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</row>
        <row r="300"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</row>
        <row r="301"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</row>
        <row r="302"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</row>
        <row r="303"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</row>
        <row r="304"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</row>
        <row r="305"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</row>
        <row r="306"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</row>
        <row r="307"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</row>
        <row r="308"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</row>
        <row r="309"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</row>
        <row r="310"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</row>
        <row r="314"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</row>
        <row r="315"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</row>
        <row r="316"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</row>
        <row r="317"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</row>
        <row r="318"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</row>
        <row r="319"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</row>
        <row r="320"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</row>
        <row r="321"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</row>
        <row r="322"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</row>
        <row r="323"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</row>
        <row r="324"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</row>
        <row r="325"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</row>
        <row r="326"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</row>
        <row r="327"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</row>
        <row r="328"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</row>
        <row r="329"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</row>
        <row r="333"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</row>
        <row r="334"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</row>
        <row r="335"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</row>
        <row r="336"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</row>
        <row r="337"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</row>
        <row r="338"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</row>
        <row r="339"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</row>
        <row r="340"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</row>
        <row r="341"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</row>
        <row r="342"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</row>
        <row r="343"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</row>
        <row r="344"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</row>
        <row r="345"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</row>
        <row r="346"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</row>
        <row r="347"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</row>
        <row r="348"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</row>
        <row r="352"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</row>
        <row r="353"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</row>
        <row r="354"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</row>
        <row r="355"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</row>
        <row r="356"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</row>
        <row r="357"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</row>
        <row r="358"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</row>
        <row r="359"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</row>
        <row r="360"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</row>
        <row r="361"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</row>
        <row r="362"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</row>
        <row r="363"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</row>
        <row r="364"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</row>
        <row r="365"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</row>
        <row r="366"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</row>
        <row r="367"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</row>
        <row r="371"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</row>
        <row r="372"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</row>
        <row r="373"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</row>
        <row r="374"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</row>
        <row r="375"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</row>
        <row r="376"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</row>
        <row r="377"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</row>
        <row r="378"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</row>
        <row r="379"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</row>
        <row r="380"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</row>
        <row r="381"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</row>
        <row r="382"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</row>
        <row r="383"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</row>
        <row r="384"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</row>
        <row r="385"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</row>
        <row r="386"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</row>
      </sheetData>
      <sheetData sheetId="28">
        <row r="10">
          <cell r="D10">
            <v>0</v>
          </cell>
          <cell r="F10">
            <v>0</v>
          </cell>
          <cell r="G10">
            <v>0</v>
          </cell>
          <cell r="I10">
            <v>0</v>
          </cell>
          <cell r="J10">
            <v>0</v>
          </cell>
          <cell r="M10">
            <v>0</v>
          </cell>
          <cell r="N10">
            <v>0</v>
          </cell>
          <cell r="P10">
            <v>0</v>
          </cell>
          <cell r="Q10">
            <v>0</v>
          </cell>
        </row>
        <row r="11">
          <cell r="D11">
            <v>0</v>
          </cell>
          <cell r="F11">
            <v>0</v>
          </cell>
          <cell r="G11">
            <v>0</v>
          </cell>
          <cell r="I11">
            <v>0</v>
          </cell>
          <cell r="J11">
            <v>0</v>
          </cell>
          <cell r="M11">
            <v>0</v>
          </cell>
          <cell r="N11">
            <v>0</v>
          </cell>
          <cell r="P11">
            <v>0</v>
          </cell>
          <cell r="Q11">
            <v>0</v>
          </cell>
        </row>
        <row r="12">
          <cell r="D12">
            <v>0</v>
          </cell>
          <cell r="F12">
            <v>0</v>
          </cell>
          <cell r="G12">
            <v>0</v>
          </cell>
          <cell r="I12">
            <v>0</v>
          </cell>
          <cell r="J12">
            <v>0</v>
          </cell>
          <cell r="M12">
            <v>0</v>
          </cell>
          <cell r="N12">
            <v>0</v>
          </cell>
          <cell r="P12">
            <v>0</v>
          </cell>
          <cell r="Q12">
            <v>0</v>
          </cell>
        </row>
        <row r="13">
          <cell r="D13">
            <v>0</v>
          </cell>
          <cell r="F13">
            <v>0</v>
          </cell>
          <cell r="G13">
            <v>0</v>
          </cell>
          <cell r="I13">
            <v>0</v>
          </cell>
          <cell r="J13">
            <v>0</v>
          </cell>
          <cell r="M13">
            <v>0</v>
          </cell>
          <cell r="N13">
            <v>0</v>
          </cell>
          <cell r="P13">
            <v>0</v>
          </cell>
          <cell r="Q13">
            <v>0</v>
          </cell>
        </row>
        <row r="14">
          <cell r="D14">
            <v>0</v>
          </cell>
          <cell r="F14">
            <v>0</v>
          </cell>
          <cell r="G14">
            <v>0</v>
          </cell>
          <cell r="I14">
            <v>0</v>
          </cell>
          <cell r="J14">
            <v>0</v>
          </cell>
          <cell r="M14">
            <v>0</v>
          </cell>
          <cell r="N14">
            <v>0</v>
          </cell>
          <cell r="P14">
            <v>0</v>
          </cell>
          <cell r="Q14">
            <v>0</v>
          </cell>
        </row>
        <row r="15">
          <cell r="D15">
            <v>0</v>
          </cell>
          <cell r="F15">
            <v>0</v>
          </cell>
          <cell r="G15">
            <v>0</v>
          </cell>
          <cell r="I15">
            <v>0</v>
          </cell>
          <cell r="J15">
            <v>0</v>
          </cell>
          <cell r="M15">
            <v>0</v>
          </cell>
          <cell r="N15">
            <v>0</v>
          </cell>
          <cell r="P15">
            <v>0</v>
          </cell>
          <cell r="Q15">
            <v>0</v>
          </cell>
        </row>
        <row r="16">
          <cell r="D16">
            <v>0</v>
          </cell>
          <cell r="F16">
            <v>0</v>
          </cell>
          <cell r="G16">
            <v>0</v>
          </cell>
          <cell r="I16">
            <v>0</v>
          </cell>
          <cell r="J16">
            <v>0</v>
          </cell>
          <cell r="M16">
            <v>0</v>
          </cell>
          <cell r="N16">
            <v>0</v>
          </cell>
          <cell r="P16">
            <v>0</v>
          </cell>
          <cell r="Q16">
            <v>0</v>
          </cell>
        </row>
        <row r="17">
          <cell r="D17">
            <v>0</v>
          </cell>
          <cell r="F17">
            <v>0</v>
          </cell>
          <cell r="G17">
            <v>0</v>
          </cell>
          <cell r="I17">
            <v>0</v>
          </cell>
          <cell r="J17">
            <v>0</v>
          </cell>
          <cell r="M17">
            <v>0</v>
          </cell>
          <cell r="N17">
            <v>0</v>
          </cell>
          <cell r="P17">
            <v>0</v>
          </cell>
          <cell r="Q17">
            <v>0</v>
          </cell>
        </row>
        <row r="18">
          <cell r="D18">
            <v>0</v>
          </cell>
          <cell r="F18">
            <v>0</v>
          </cell>
          <cell r="G18">
            <v>0</v>
          </cell>
          <cell r="I18">
            <v>0</v>
          </cell>
          <cell r="J18">
            <v>0</v>
          </cell>
          <cell r="M18">
            <v>0</v>
          </cell>
          <cell r="N18">
            <v>0</v>
          </cell>
          <cell r="P18">
            <v>0</v>
          </cell>
          <cell r="Q18">
            <v>0</v>
          </cell>
        </row>
        <row r="19">
          <cell r="D19">
            <v>0</v>
          </cell>
          <cell r="F19">
            <v>0</v>
          </cell>
          <cell r="G19">
            <v>0</v>
          </cell>
          <cell r="I19">
            <v>0</v>
          </cell>
          <cell r="J19">
            <v>0</v>
          </cell>
          <cell r="M19">
            <v>0</v>
          </cell>
          <cell r="N19">
            <v>0</v>
          </cell>
          <cell r="P19">
            <v>0</v>
          </cell>
          <cell r="Q19">
            <v>0</v>
          </cell>
        </row>
        <row r="20">
          <cell r="D20">
            <v>0</v>
          </cell>
          <cell r="F20">
            <v>0</v>
          </cell>
          <cell r="G20">
            <v>0</v>
          </cell>
          <cell r="I20">
            <v>0</v>
          </cell>
          <cell r="J20">
            <v>0</v>
          </cell>
          <cell r="M20">
            <v>0</v>
          </cell>
          <cell r="N20">
            <v>0</v>
          </cell>
          <cell r="P20">
            <v>0</v>
          </cell>
          <cell r="Q20">
            <v>0</v>
          </cell>
        </row>
        <row r="21">
          <cell r="D21">
            <v>0</v>
          </cell>
          <cell r="F21">
            <v>0</v>
          </cell>
          <cell r="G21">
            <v>0</v>
          </cell>
          <cell r="I21">
            <v>0</v>
          </cell>
          <cell r="J21">
            <v>0</v>
          </cell>
          <cell r="M21">
            <v>0</v>
          </cell>
          <cell r="N21">
            <v>0</v>
          </cell>
          <cell r="P21">
            <v>0</v>
          </cell>
          <cell r="Q21">
            <v>0</v>
          </cell>
        </row>
        <row r="22">
          <cell r="D22">
            <v>0</v>
          </cell>
          <cell r="F22">
            <v>0</v>
          </cell>
          <cell r="G22">
            <v>0</v>
          </cell>
          <cell r="I22">
            <v>0</v>
          </cell>
          <cell r="J22">
            <v>0</v>
          </cell>
          <cell r="M22">
            <v>0</v>
          </cell>
          <cell r="N22">
            <v>0</v>
          </cell>
          <cell r="P22">
            <v>0</v>
          </cell>
          <cell r="Q22">
            <v>0</v>
          </cell>
        </row>
        <row r="23">
          <cell r="D23">
            <v>0</v>
          </cell>
          <cell r="F23">
            <v>0</v>
          </cell>
          <cell r="G23">
            <v>0</v>
          </cell>
          <cell r="I23">
            <v>0</v>
          </cell>
          <cell r="J23">
            <v>0</v>
          </cell>
          <cell r="M23">
            <v>0</v>
          </cell>
          <cell r="N23">
            <v>0</v>
          </cell>
          <cell r="P23">
            <v>0</v>
          </cell>
          <cell r="Q23">
            <v>0</v>
          </cell>
        </row>
        <row r="24">
          <cell r="D24">
            <v>0</v>
          </cell>
          <cell r="F24">
            <v>0</v>
          </cell>
          <cell r="G24">
            <v>0</v>
          </cell>
          <cell r="I24">
            <v>0</v>
          </cell>
          <cell r="J24">
            <v>0</v>
          </cell>
          <cell r="M24">
            <v>0</v>
          </cell>
          <cell r="N24">
            <v>0</v>
          </cell>
          <cell r="P24">
            <v>0</v>
          </cell>
          <cell r="Q24">
            <v>0</v>
          </cell>
        </row>
        <row r="25">
          <cell r="D25">
            <v>0</v>
          </cell>
          <cell r="F25">
            <v>0</v>
          </cell>
          <cell r="G25">
            <v>0</v>
          </cell>
          <cell r="I25">
            <v>0</v>
          </cell>
          <cell r="J25">
            <v>0</v>
          </cell>
          <cell r="M25">
            <v>0</v>
          </cell>
          <cell r="N25">
            <v>0</v>
          </cell>
          <cell r="P25">
            <v>0</v>
          </cell>
          <cell r="Q25">
            <v>0</v>
          </cell>
        </row>
        <row r="26">
          <cell r="D26">
            <v>0</v>
          </cell>
          <cell r="F26">
            <v>0</v>
          </cell>
          <cell r="G26">
            <v>0</v>
          </cell>
          <cell r="I26">
            <v>0</v>
          </cell>
          <cell r="J26">
            <v>0</v>
          </cell>
          <cell r="M26">
            <v>0</v>
          </cell>
          <cell r="N26">
            <v>0</v>
          </cell>
          <cell r="P26">
            <v>0</v>
          </cell>
          <cell r="Q26">
            <v>0</v>
          </cell>
        </row>
        <row r="27">
          <cell r="D27">
            <v>0</v>
          </cell>
          <cell r="F27">
            <v>0</v>
          </cell>
          <cell r="G27">
            <v>0</v>
          </cell>
          <cell r="I27">
            <v>0</v>
          </cell>
          <cell r="J27">
            <v>0</v>
          </cell>
          <cell r="M27">
            <v>0</v>
          </cell>
          <cell r="N27">
            <v>0</v>
          </cell>
          <cell r="P27">
            <v>0</v>
          </cell>
          <cell r="Q27">
            <v>0</v>
          </cell>
        </row>
        <row r="28">
          <cell r="D28">
            <v>0</v>
          </cell>
          <cell r="F28">
            <v>0</v>
          </cell>
          <cell r="G28">
            <v>0</v>
          </cell>
          <cell r="I28">
            <v>0</v>
          </cell>
          <cell r="J28">
            <v>0</v>
          </cell>
          <cell r="M28">
            <v>0</v>
          </cell>
          <cell r="N28">
            <v>0</v>
          </cell>
          <cell r="P28">
            <v>0</v>
          </cell>
          <cell r="Q28">
            <v>0</v>
          </cell>
        </row>
        <row r="29">
          <cell r="D29">
            <v>0</v>
          </cell>
          <cell r="F29">
            <v>0</v>
          </cell>
          <cell r="G29">
            <v>0</v>
          </cell>
          <cell r="I29">
            <v>0</v>
          </cell>
          <cell r="J29">
            <v>0</v>
          </cell>
          <cell r="M29">
            <v>0</v>
          </cell>
          <cell r="N29">
            <v>0</v>
          </cell>
          <cell r="P29">
            <v>0</v>
          </cell>
          <cell r="Q29">
            <v>0</v>
          </cell>
        </row>
        <row r="31">
          <cell r="D31">
            <v>0</v>
          </cell>
          <cell r="F31">
            <v>0</v>
          </cell>
          <cell r="G31">
            <v>0</v>
          </cell>
          <cell r="I31">
            <v>0</v>
          </cell>
          <cell r="J31">
            <v>0</v>
          </cell>
          <cell r="M31">
            <v>0</v>
          </cell>
          <cell r="N31">
            <v>0</v>
          </cell>
          <cell r="P31">
            <v>0</v>
          </cell>
          <cell r="Q31">
            <v>0</v>
          </cell>
        </row>
        <row r="32">
          <cell r="D32">
            <v>0</v>
          </cell>
          <cell r="F32">
            <v>0</v>
          </cell>
          <cell r="G32">
            <v>0</v>
          </cell>
          <cell r="I32">
            <v>0</v>
          </cell>
          <cell r="J32">
            <v>0</v>
          </cell>
          <cell r="M32">
            <v>0</v>
          </cell>
          <cell r="N32">
            <v>0</v>
          </cell>
          <cell r="P32">
            <v>0</v>
          </cell>
          <cell r="Q32">
            <v>0</v>
          </cell>
        </row>
        <row r="33">
          <cell r="D33">
            <v>0</v>
          </cell>
          <cell r="F33">
            <v>0</v>
          </cell>
          <cell r="G33">
            <v>0</v>
          </cell>
          <cell r="I33">
            <v>0</v>
          </cell>
          <cell r="J33">
            <v>0</v>
          </cell>
          <cell r="M33">
            <v>0</v>
          </cell>
          <cell r="N33">
            <v>0</v>
          </cell>
          <cell r="P33">
            <v>0</v>
          </cell>
          <cell r="Q33">
            <v>0</v>
          </cell>
        </row>
        <row r="34">
          <cell r="D34">
            <v>0</v>
          </cell>
          <cell r="F34">
            <v>0</v>
          </cell>
          <cell r="G34">
            <v>0</v>
          </cell>
          <cell r="I34">
            <v>0</v>
          </cell>
          <cell r="J34">
            <v>0</v>
          </cell>
          <cell r="M34">
            <v>0</v>
          </cell>
          <cell r="N34">
            <v>0</v>
          </cell>
          <cell r="P34">
            <v>0</v>
          </cell>
          <cell r="Q34">
            <v>0</v>
          </cell>
        </row>
        <row r="35">
          <cell r="D35">
            <v>0</v>
          </cell>
          <cell r="F35">
            <v>0</v>
          </cell>
          <cell r="G35">
            <v>0</v>
          </cell>
          <cell r="I35">
            <v>0</v>
          </cell>
          <cell r="J35">
            <v>0</v>
          </cell>
          <cell r="M35">
            <v>0</v>
          </cell>
          <cell r="N35">
            <v>0</v>
          </cell>
          <cell r="P35">
            <v>0</v>
          </cell>
          <cell r="Q35">
            <v>0</v>
          </cell>
        </row>
        <row r="36">
          <cell r="D36">
            <v>0</v>
          </cell>
          <cell r="F36">
            <v>0</v>
          </cell>
          <cell r="G36">
            <v>0</v>
          </cell>
          <cell r="I36">
            <v>0</v>
          </cell>
          <cell r="J36">
            <v>0</v>
          </cell>
          <cell r="M36">
            <v>0</v>
          </cell>
          <cell r="N36">
            <v>0</v>
          </cell>
          <cell r="P36">
            <v>0</v>
          </cell>
          <cell r="Q36">
            <v>0</v>
          </cell>
        </row>
        <row r="37">
          <cell r="D37">
            <v>0</v>
          </cell>
          <cell r="F37">
            <v>0</v>
          </cell>
          <cell r="G37">
            <v>0</v>
          </cell>
          <cell r="I37">
            <v>0</v>
          </cell>
          <cell r="J37">
            <v>0</v>
          </cell>
          <cell r="M37">
            <v>0</v>
          </cell>
          <cell r="N37">
            <v>0</v>
          </cell>
          <cell r="P37">
            <v>0</v>
          </cell>
          <cell r="Q37">
            <v>0</v>
          </cell>
        </row>
        <row r="38">
          <cell r="D38">
            <v>0</v>
          </cell>
          <cell r="F38">
            <v>0</v>
          </cell>
          <cell r="G38">
            <v>0</v>
          </cell>
          <cell r="I38">
            <v>0</v>
          </cell>
          <cell r="J38">
            <v>0</v>
          </cell>
          <cell r="M38">
            <v>0</v>
          </cell>
          <cell r="N38">
            <v>0</v>
          </cell>
          <cell r="P38">
            <v>0</v>
          </cell>
          <cell r="Q38">
            <v>0</v>
          </cell>
        </row>
        <row r="39">
          <cell r="D39">
            <v>0</v>
          </cell>
          <cell r="F39">
            <v>0</v>
          </cell>
          <cell r="G39">
            <v>0</v>
          </cell>
          <cell r="I39">
            <v>0</v>
          </cell>
          <cell r="J39">
            <v>0</v>
          </cell>
          <cell r="M39">
            <v>0</v>
          </cell>
          <cell r="N39">
            <v>0</v>
          </cell>
          <cell r="P39">
            <v>0</v>
          </cell>
          <cell r="Q39">
            <v>0</v>
          </cell>
        </row>
        <row r="40">
          <cell r="D40">
            <v>0</v>
          </cell>
          <cell r="F40">
            <v>0</v>
          </cell>
          <cell r="G40">
            <v>0</v>
          </cell>
          <cell r="I40">
            <v>0</v>
          </cell>
          <cell r="J40">
            <v>0</v>
          </cell>
          <cell r="M40">
            <v>0</v>
          </cell>
          <cell r="N40">
            <v>0</v>
          </cell>
          <cell r="P40">
            <v>0</v>
          </cell>
          <cell r="Q40">
            <v>0</v>
          </cell>
        </row>
        <row r="41">
          <cell r="D41">
            <v>0</v>
          </cell>
          <cell r="F41">
            <v>0</v>
          </cell>
          <cell r="G41">
            <v>0</v>
          </cell>
          <cell r="I41">
            <v>0</v>
          </cell>
          <cell r="J41">
            <v>0</v>
          </cell>
          <cell r="M41">
            <v>0</v>
          </cell>
          <cell r="N41">
            <v>0</v>
          </cell>
          <cell r="P41">
            <v>0</v>
          </cell>
          <cell r="Q41">
            <v>0</v>
          </cell>
        </row>
        <row r="42">
          <cell r="D42">
            <v>0</v>
          </cell>
          <cell r="F42">
            <v>0</v>
          </cell>
          <cell r="G42">
            <v>0</v>
          </cell>
          <cell r="I42">
            <v>0</v>
          </cell>
          <cell r="J42">
            <v>0</v>
          </cell>
          <cell r="M42">
            <v>0</v>
          </cell>
          <cell r="N42">
            <v>0</v>
          </cell>
          <cell r="P42">
            <v>0</v>
          </cell>
          <cell r="Q42">
            <v>0</v>
          </cell>
        </row>
        <row r="43">
          <cell r="D43">
            <v>0</v>
          </cell>
          <cell r="F43">
            <v>0</v>
          </cell>
          <cell r="G43">
            <v>0</v>
          </cell>
          <cell r="I43">
            <v>0</v>
          </cell>
          <cell r="J43">
            <v>0</v>
          </cell>
          <cell r="M43">
            <v>0</v>
          </cell>
          <cell r="N43">
            <v>0</v>
          </cell>
          <cell r="P43">
            <v>0</v>
          </cell>
          <cell r="Q43">
            <v>0</v>
          </cell>
        </row>
        <row r="44">
          <cell r="D44">
            <v>0</v>
          </cell>
          <cell r="F44">
            <v>0</v>
          </cell>
          <cell r="G44">
            <v>0</v>
          </cell>
          <cell r="I44">
            <v>0</v>
          </cell>
          <cell r="J44">
            <v>0</v>
          </cell>
          <cell r="M44">
            <v>0</v>
          </cell>
          <cell r="N44">
            <v>0</v>
          </cell>
          <cell r="P44">
            <v>0</v>
          </cell>
          <cell r="Q44">
            <v>0</v>
          </cell>
        </row>
        <row r="46">
          <cell r="D46">
            <v>0</v>
          </cell>
          <cell r="F46">
            <v>0</v>
          </cell>
          <cell r="G46">
            <v>0</v>
          </cell>
          <cell r="I46">
            <v>0</v>
          </cell>
          <cell r="J46">
            <v>0</v>
          </cell>
          <cell r="M46">
            <v>0</v>
          </cell>
          <cell r="N46">
            <v>0</v>
          </cell>
          <cell r="P46">
            <v>0</v>
          </cell>
          <cell r="Q46">
            <v>0</v>
          </cell>
        </row>
        <row r="47">
          <cell r="D47">
            <v>0</v>
          </cell>
          <cell r="F47">
            <v>0</v>
          </cell>
          <cell r="G47">
            <v>0</v>
          </cell>
          <cell r="I47">
            <v>0</v>
          </cell>
          <cell r="J47">
            <v>0</v>
          </cell>
          <cell r="M47">
            <v>0</v>
          </cell>
          <cell r="N47">
            <v>0</v>
          </cell>
          <cell r="P47">
            <v>0</v>
          </cell>
          <cell r="Q47">
            <v>0</v>
          </cell>
        </row>
        <row r="48">
          <cell r="D48">
            <v>0</v>
          </cell>
          <cell r="F48">
            <v>0</v>
          </cell>
          <cell r="G48">
            <v>0</v>
          </cell>
          <cell r="I48">
            <v>0</v>
          </cell>
          <cell r="J48">
            <v>0</v>
          </cell>
          <cell r="M48">
            <v>0</v>
          </cell>
          <cell r="N48">
            <v>0</v>
          </cell>
          <cell r="P48">
            <v>0</v>
          </cell>
          <cell r="Q48">
            <v>0</v>
          </cell>
        </row>
        <row r="49">
          <cell r="D49">
            <v>0</v>
          </cell>
          <cell r="F49">
            <v>0</v>
          </cell>
          <cell r="G49">
            <v>0</v>
          </cell>
          <cell r="I49">
            <v>0</v>
          </cell>
          <cell r="J49">
            <v>0</v>
          </cell>
          <cell r="M49">
            <v>0</v>
          </cell>
          <cell r="N49">
            <v>0</v>
          </cell>
          <cell r="P49">
            <v>0</v>
          </cell>
          <cell r="Q49">
            <v>0</v>
          </cell>
        </row>
        <row r="50">
          <cell r="D50">
            <v>0</v>
          </cell>
          <cell r="F50">
            <v>0</v>
          </cell>
          <cell r="G50">
            <v>0</v>
          </cell>
          <cell r="I50">
            <v>0</v>
          </cell>
          <cell r="J50">
            <v>0</v>
          </cell>
          <cell r="M50">
            <v>0</v>
          </cell>
          <cell r="N50">
            <v>0</v>
          </cell>
          <cell r="P50">
            <v>0</v>
          </cell>
          <cell r="Q50">
            <v>0</v>
          </cell>
        </row>
        <row r="51">
          <cell r="D51">
            <v>0</v>
          </cell>
          <cell r="F51">
            <v>0</v>
          </cell>
          <cell r="G51">
            <v>0</v>
          </cell>
          <cell r="I51">
            <v>0</v>
          </cell>
          <cell r="J51">
            <v>0</v>
          </cell>
          <cell r="M51">
            <v>0</v>
          </cell>
          <cell r="N51">
            <v>0</v>
          </cell>
          <cell r="P51">
            <v>0</v>
          </cell>
          <cell r="Q51">
            <v>0</v>
          </cell>
        </row>
        <row r="52">
          <cell r="D52">
            <v>0</v>
          </cell>
          <cell r="F52">
            <v>0</v>
          </cell>
          <cell r="G52">
            <v>0</v>
          </cell>
          <cell r="I52">
            <v>0</v>
          </cell>
          <cell r="J52">
            <v>0</v>
          </cell>
          <cell r="M52">
            <v>0</v>
          </cell>
          <cell r="N52">
            <v>0</v>
          </cell>
          <cell r="P52">
            <v>0</v>
          </cell>
          <cell r="Q52">
            <v>0</v>
          </cell>
        </row>
        <row r="53">
          <cell r="D53">
            <v>0</v>
          </cell>
          <cell r="F53">
            <v>0</v>
          </cell>
          <cell r="G53">
            <v>0</v>
          </cell>
          <cell r="I53">
            <v>0</v>
          </cell>
          <cell r="J53">
            <v>0</v>
          </cell>
          <cell r="M53">
            <v>0</v>
          </cell>
          <cell r="N53">
            <v>0</v>
          </cell>
          <cell r="P53">
            <v>0</v>
          </cell>
          <cell r="Q53">
            <v>0</v>
          </cell>
        </row>
        <row r="54">
          <cell r="D54">
            <v>0</v>
          </cell>
          <cell r="F54">
            <v>0</v>
          </cell>
          <cell r="G54">
            <v>0</v>
          </cell>
          <cell r="I54">
            <v>0</v>
          </cell>
          <cell r="J54">
            <v>0</v>
          </cell>
          <cell r="M54">
            <v>0</v>
          </cell>
          <cell r="N54">
            <v>0</v>
          </cell>
          <cell r="P54">
            <v>0</v>
          </cell>
          <cell r="Q54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</sheetData>
      <sheetData sheetId="29"/>
      <sheetData sheetId="30">
        <row r="9">
          <cell r="G9">
            <v>0</v>
          </cell>
          <cell r="H9">
            <v>0</v>
          </cell>
          <cell r="J9">
            <v>0</v>
          </cell>
          <cell r="K9">
            <v>0</v>
          </cell>
        </row>
        <row r="10">
          <cell r="G10">
            <v>0</v>
          </cell>
          <cell r="H10">
            <v>0</v>
          </cell>
          <cell r="J10">
            <v>0</v>
          </cell>
          <cell r="K10">
            <v>0</v>
          </cell>
        </row>
        <row r="11">
          <cell r="G11">
            <v>0</v>
          </cell>
          <cell r="H11">
            <v>0</v>
          </cell>
          <cell r="J11">
            <v>0</v>
          </cell>
          <cell r="K11">
            <v>0</v>
          </cell>
        </row>
        <row r="12">
          <cell r="G12">
            <v>0</v>
          </cell>
          <cell r="H12">
            <v>0</v>
          </cell>
          <cell r="J12">
            <v>0</v>
          </cell>
          <cell r="K12">
            <v>0</v>
          </cell>
        </row>
        <row r="13">
          <cell r="G13">
            <v>0</v>
          </cell>
          <cell r="H13">
            <v>0</v>
          </cell>
          <cell r="J13">
            <v>0</v>
          </cell>
          <cell r="K13">
            <v>0</v>
          </cell>
        </row>
        <row r="14">
          <cell r="G14">
            <v>0</v>
          </cell>
          <cell r="H14">
            <v>0</v>
          </cell>
          <cell r="J14">
            <v>0</v>
          </cell>
          <cell r="K14">
            <v>0</v>
          </cell>
        </row>
        <row r="15">
          <cell r="G15">
            <v>0</v>
          </cell>
          <cell r="H15">
            <v>0</v>
          </cell>
          <cell r="J15">
            <v>0</v>
          </cell>
          <cell r="K15">
            <v>0</v>
          </cell>
        </row>
        <row r="16">
          <cell r="G16">
            <v>0</v>
          </cell>
          <cell r="H16">
            <v>0</v>
          </cell>
          <cell r="J16">
            <v>0</v>
          </cell>
          <cell r="K16">
            <v>0</v>
          </cell>
        </row>
        <row r="17">
          <cell r="G17">
            <v>0</v>
          </cell>
          <cell r="H17">
            <v>0</v>
          </cell>
          <cell r="J17">
            <v>0</v>
          </cell>
          <cell r="K17">
            <v>0</v>
          </cell>
        </row>
        <row r="18">
          <cell r="G18">
            <v>0</v>
          </cell>
          <cell r="H18">
            <v>0</v>
          </cell>
          <cell r="J18">
            <v>0</v>
          </cell>
          <cell r="K18">
            <v>0</v>
          </cell>
        </row>
        <row r="19">
          <cell r="G19">
            <v>0</v>
          </cell>
          <cell r="H19">
            <v>0</v>
          </cell>
          <cell r="J19">
            <v>0</v>
          </cell>
          <cell r="K19">
            <v>0</v>
          </cell>
        </row>
        <row r="20">
          <cell r="G20">
            <v>0</v>
          </cell>
          <cell r="H20">
            <v>0</v>
          </cell>
          <cell r="J20">
            <v>0</v>
          </cell>
          <cell r="K20">
            <v>0</v>
          </cell>
        </row>
        <row r="21">
          <cell r="G21">
            <v>0</v>
          </cell>
          <cell r="H21">
            <v>0</v>
          </cell>
          <cell r="J21">
            <v>0</v>
          </cell>
          <cell r="K21">
            <v>0</v>
          </cell>
        </row>
        <row r="22">
          <cell r="G22">
            <v>0</v>
          </cell>
          <cell r="H22">
            <v>0</v>
          </cell>
          <cell r="J22">
            <v>0</v>
          </cell>
          <cell r="K22">
            <v>0</v>
          </cell>
        </row>
        <row r="23">
          <cell r="G23">
            <v>0</v>
          </cell>
          <cell r="H23">
            <v>0</v>
          </cell>
          <cell r="J23">
            <v>0</v>
          </cell>
          <cell r="K23">
            <v>0</v>
          </cell>
        </row>
        <row r="24">
          <cell r="G24">
            <v>0</v>
          </cell>
          <cell r="H24">
            <v>0</v>
          </cell>
          <cell r="J24">
            <v>0</v>
          </cell>
          <cell r="K24">
            <v>0</v>
          </cell>
        </row>
        <row r="30">
          <cell r="G30">
            <v>0</v>
          </cell>
          <cell r="J30">
            <v>0</v>
          </cell>
        </row>
        <row r="31">
          <cell r="G31">
            <v>0</v>
          </cell>
          <cell r="J31">
            <v>0</v>
          </cell>
        </row>
        <row r="32">
          <cell r="G32">
            <v>0</v>
          </cell>
          <cell r="J32">
            <v>0</v>
          </cell>
        </row>
        <row r="33">
          <cell r="G33">
            <v>0</v>
          </cell>
          <cell r="J33">
            <v>0</v>
          </cell>
        </row>
        <row r="34">
          <cell r="H34">
            <v>0</v>
          </cell>
          <cell r="K34">
            <v>0</v>
          </cell>
        </row>
      </sheetData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DR"/>
      <sheetName val="Ranking per LGD"/>
      <sheetName val="SCR-B3B-S.26.02"/>
      <sheetName val="SCR-B3B Parameters"/>
      <sheetName val="Diversification"/>
    </sheetNames>
    <sheetDataSet>
      <sheetData sheetId="0" refreshError="1"/>
      <sheetData sheetId="1" refreshError="1"/>
      <sheetData sheetId="2">
        <row r="10">
          <cell r="I10">
            <v>5511469.3258079002</v>
          </cell>
        </row>
        <row r="11">
          <cell r="C11" t="str">
            <v>Intesa Sanpaolo</v>
          </cell>
          <cell r="D11"/>
          <cell r="E11"/>
          <cell r="F11">
            <v>19930434.75999999</v>
          </cell>
          <cell r="G11">
            <v>2.3999999999999998E-3</v>
          </cell>
        </row>
        <row r="12">
          <cell r="C12" t="str">
            <v>State Street Bank and Trust Co.</v>
          </cell>
          <cell r="D12"/>
          <cell r="E12"/>
          <cell r="F12">
            <v>1786068.43</v>
          </cell>
          <cell r="G12">
            <v>5.0000000000000001E-4</v>
          </cell>
        </row>
        <row r="13">
          <cell r="C13" t="str">
            <v>Helvetia</v>
          </cell>
          <cell r="D13"/>
          <cell r="E13"/>
          <cell r="F13">
            <v>1700000</v>
          </cell>
          <cell r="G13">
            <v>5.0000000000000001E-4</v>
          </cell>
        </row>
        <row r="14">
          <cell r="C14" t="str">
            <v>UniCredit</v>
          </cell>
          <cell r="D14"/>
          <cell r="E14"/>
          <cell r="F14">
            <v>1070646.4700000384</v>
          </cell>
          <cell r="G14">
            <v>2.3999999999999998E-3</v>
          </cell>
        </row>
        <row r="15">
          <cell r="C15" t="str">
            <v>Banco di Desio e della Brianza</v>
          </cell>
          <cell r="D15"/>
          <cell r="E15"/>
          <cell r="F15">
            <v>891799.97999987903</v>
          </cell>
          <cell r="G15">
            <v>2.3999999999999998E-3</v>
          </cell>
        </row>
        <row r="16">
          <cell r="C16" t="str">
            <v>ENI</v>
          </cell>
          <cell r="D16"/>
          <cell r="E16"/>
          <cell r="F16">
            <v>390145.71481438208</v>
          </cell>
          <cell r="G16">
            <v>5.0000000000000001E-4</v>
          </cell>
        </row>
        <row r="17">
          <cell r="C17" t="str">
            <v>Cassa di Risparmio di Cesena</v>
          </cell>
          <cell r="D17"/>
          <cell r="E17"/>
          <cell r="F17">
            <v>347533.99999999953</v>
          </cell>
          <cell r="G17">
            <v>5.0000000000000001E-3</v>
          </cell>
        </row>
        <row r="18">
          <cell r="C18" t="str">
            <v>Banca Popolare di Milano</v>
          </cell>
          <cell r="D18"/>
          <cell r="E18"/>
          <cell r="F18">
            <v>228851.70999999403</v>
          </cell>
          <cell r="G18">
            <v>1.2E-2</v>
          </cell>
        </row>
        <row r="19">
          <cell r="C19" t="str">
            <v>Cassa di Risparmio di Rimini</v>
          </cell>
          <cell r="D19"/>
          <cell r="E19"/>
          <cell r="F19">
            <v>214146.65999999989</v>
          </cell>
          <cell r="G19">
            <v>5.0000000000000001E-3</v>
          </cell>
        </row>
        <row r="20">
          <cell r="C20" t="str">
            <v>Bcc Sesto San Giovanni</v>
          </cell>
          <cell r="D20"/>
          <cell r="E20"/>
          <cell r="F20">
            <v>192175.45000006503</v>
          </cell>
          <cell r="G20">
            <v>5.0000000000000001E-3</v>
          </cell>
        </row>
        <row r="22">
          <cell r="F22">
            <v>3994103.9860868971</v>
          </cell>
        </row>
        <row r="23">
          <cell r="F23">
            <v>18333202.223913103</v>
          </cell>
        </row>
      </sheetData>
      <sheetData sheetId="3" refreshError="1"/>
      <sheetData sheetId="4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IEPILOGO_TP"/>
      <sheetName val="BE_Sinistri_LoB_1"/>
      <sheetName val="BE_Sinistri_LoB_2"/>
      <sheetName val="BE_Sinistri_LoB_4"/>
      <sheetName val="BE_Sinistri_LoB_5"/>
      <sheetName val="BE_Sinistri_LoB_7"/>
      <sheetName val="BE_Sinistri_LoB_8"/>
      <sheetName val="BE_Sinistri_LoB_9"/>
      <sheetName val="BE_Sinistri_LoB_10"/>
      <sheetName val="BE_Sinistri_LoB_11"/>
      <sheetName val="BE_Sinistri_LoB_12"/>
      <sheetName val="BE_RS"/>
      <sheetName val="per counterparti risk"/>
      <sheetName val="Recuperi_Ris.Sin."/>
      <sheetName val="Recuperi_Ris_Premi"/>
      <sheetName val="BE_RP"/>
      <sheetName val="LR_prospettici"/>
      <sheetName val="ER_prospettico"/>
      <sheetName val="BE_Premi"/>
      <sheetName val="BE_Premi_Lapse risk"/>
      <sheetName val="Credit_Rating"/>
      <sheetName val="Spot_RiskFree"/>
      <sheetName val="Cod."/>
    </sheetNames>
    <sheetDataSet>
      <sheetData sheetId="0">
        <row r="7">
          <cell r="C7">
            <v>5117.2377583110738</v>
          </cell>
        </row>
      </sheetData>
      <sheetData sheetId="1">
        <row r="5">
          <cell r="G5">
            <v>729801.44895961694</v>
          </cell>
        </row>
      </sheetData>
      <sheetData sheetId="2">
        <row r="5">
          <cell r="G5">
            <v>23754134.801861774</v>
          </cell>
        </row>
      </sheetData>
      <sheetData sheetId="3">
        <row r="5">
          <cell r="G5">
            <v>47442704.034664616</v>
          </cell>
        </row>
      </sheetData>
      <sheetData sheetId="4">
        <row r="5">
          <cell r="G5">
            <v>1711773.6224602233</v>
          </cell>
        </row>
      </sheetData>
      <sheetData sheetId="5">
        <row r="5">
          <cell r="G5">
            <v>890131.11522464931</v>
          </cell>
        </row>
      </sheetData>
      <sheetData sheetId="6">
        <row r="5">
          <cell r="G5">
            <v>2908589.1337078116</v>
          </cell>
        </row>
      </sheetData>
      <sheetData sheetId="7">
        <row r="5">
          <cell r="G5">
            <v>210231.95065752821</v>
          </cell>
        </row>
      </sheetData>
      <sheetData sheetId="8">
        <row r="5">
          <cell r="G5">
            <v>135588.36052298863</v>
          </cell>
        </row>
      </sheetData>
      <sheetData sheetId="9">
        <row r="5">
          <cell r="G5">
            <v>181810.92576193024</v>
          </cell>
        </row>
      </sheetData>
      <sheetData sheetId="10">
        <row r="5">
          <cell r="G5">
            <v>373929.43544077571</v>
          </cell>
        </row>
      </sheetData>
      <sheetData sheetId="11">
        <row r="63">
          <cell r="A63" t="str">
            <v>Anno</v>
          </cell>
          <cell r="B63" t="str">
            <v>LoB_1</v>
          </cell>
          <cell r="C63" t="str">
            <v>LoB_2</v>
          </cell>
          <cell r="D63" t="str">
            <v>LoB_3</v>
          </cell>
          <cell r="E63" t="str">
            <v>LoB_4</v>
          </cell>
          <cell r="F63" t="str">
            <v>LoB_5</v>
          </cell>
          <cell r="G63" t="str">
            <v>LoB_6</v>
          </cell>
          <cell r="H63" t="str">
            <v>LoB_7</v>
          </cell>
          <cell r="I63" t="str">
            <v>LoB_8</v>
          </cell>
          <cell r="J63" t="str">
            <v>LoB_9</v>
          </cell>
          <cell r="K63" t="str">
            <v>LoB_10</v>
          </cell>
          <cell r="L63" t="str">
            <v>LoB_11</v>
          </cell>
          <cell r="M63" t="str">
            <v>LoB_12</v>
          </cell>
        </row>
        <row r="64">
          <cell r="A64">
            <v>2015</v>
          </cell>
          <cell r="B64">
            <v>390682.06173311773</v>
          </cell>
          <cell r="C64">
            <v>17575925.450697776</v>
          </cell>
          <cell r="D64">
            <v>0</v>
          </cell>
          <cell r="E64">
            <v>21489921.53735926</v>
          </cell>
          <cell r="F64">
            <v>1310313.7506803276</v>
          </cell>
          <cell r="G64">
            <v>0</v>
          </cell>
          <cell r="H64">
            <v>493531.58745243924</v>
          </cell>
          <cell r="I64">
            <v>1612661.9863675341</v>
          </cell>
          <cell r="J64">
            <v>116562.72493636745</v>
          </cell>
          <cell r="K64">
            <v>103789.01210671161</v>
          </cell>
          <cell r="L64">
            <v>139171.06381589494</v>
          </cell>
          <cell r="M64">
            <v>207324.49940445588</v>
          </cell>
        </row>
        <row r="65">
          <cell r="A65">
            <v>2016</v>
          </cell>
          <cell r="B65">
            <v>169391.92646866076</v>
          </cell>
          <cell r="C65">
            <v>4436675.1155217811</v>
          </cell>
          <cell r="D65">
            <v>0</v>
          </cell>
          <cell r="E65">
            <v>8969057.3754546102</v>
          </cell>
          <cell r="F65">
            <v>150314.61786742779</v>
          </cell>
          <cell r="G65">
            <v>0</v>
          </cell>
          <cell r="H65">
            <v>165536.52738079778</v>
          </cell>
          <cell r="I65">
            <v>540906.54347028374</v>
          </cell>
          <cell r="J65">
            <v>39096.562810924137</v>
          </cell>
          <cell r="K65">
            <v>11906.313038047567</v>
          </cell>
          <cell r="L65">
            <v>15965.218456135468</v>
          </cell>
          <cell r="M65">
            <v>69539.171442969164</v>
          </cell>
        </row>
        <row r="66">
          <cell r="A66">
            <v>2017</v>
          </cell>
          <cell r="B66">
            <v>167357.08969394505</v>
          </cell>
          <cell r="C66">
            <v>1061105.2729287941</v>
          </cell>
          <cell r="D66">
            <v>0</v>
          </cell>
          <cell r="E66">
            <v>4809153.5686649289</v>
          </cell>
          <cell r="F66">
            <v>106158.89840983004</v>
          </cell>
          <cell r="G66">
            <v>0</v>
          </cell>
          <cell r="H66">
            <v>74194.278098618088</v>
          </cell>
          <cell r="I66">
            <v>242436.94818652954</v>
          </cell>
          <cell r="J66">
            <v>17523.269938005724</v>
          </cell>
          <cell r="K66">
            <v>8408.7701793347587</v>
          </cell>
          <cell r="L66">
            <v>11275.350516277977</v>
          </cell>
          <cell r="M66">
            <v>31167.795449269688</v>
          </cell>
        </row>
        <row r="67">
          <cell r="A67">
            <v>2018</v>
          </cell>
          <cell r="B67">
            <v>1941.4147035635986</v>
          </cell>
          <cell r="C67">
            <v>304823.16141505033</v>
          </cell>
          <cell r="D67">
            <v>0</v>
          </cell>
          <cell r="E67">
            <v>3784602.0164610972</v>
          </cell>
          <cell r="F67">
            <v>104687.42934384575</v>
          </cell>
          <cell r="G67">
            <v>0</v>
          </cell>
          <cell r="H67">
            <v>50751.142259754837</v>
          </cell>
          <cell r="I67">
            <v>165834.24438851088</v>
          </cell>
          <cell r="J67">
            <v>11986.449471180691</v>
          </cell>
          <cell r="K67">
            <v>8292.2161703237107</v>
          </cell>
          <cell r="L67">
            <v>11119.062821686595</v>
          </cell>
          <cell r="M67">
            <v>21319.719812710024</v>
          </cell>
        </row>
        <row r="68">
          <cell r="A68">
            <v>2019</v>
          </cell>
          <cell r="B68">
            <v>789.50560204871351</v>
          </cell>
          <cell r="C68">
            <v>172940.07060804986</v>
          </cell>
          <cell r="D68">
            <v>0</v>
          </cell>
          <cell r="E68">
            <v>2650786.2776097334</v>
          </cell>
          <cell r="F68">
            <v>10940.624961709103</v>
          </cell>
          <cell r="G68">
            <v>0</v>
          </cell>
          <cell r="H68">
            <v>34162.586614257641</v>
          </cell>
          <cell r="I68">
            <v>111629.54143053881</v>
          </cell>
          <cell r="J68">
            <v>8068.5497906783685</v>
          </cell>
          <cell r="K68">
            <v>866.59905386495882</v>
          </cell>
          <cell r="L68">
            <v>1162.025823159707</v>
          </cell>
          <cell r="M68">
            <v>14351.140531293515</v>
          </cell>
        </row>
        <row r="69">
          <cell r="A69">
            <v>2020</v>
          </cell>
          <cell r="B69">
            <v>739.24266307432572</v>
          </cell>
          <cell r="C69">
            <v>106014.88836823174</v>
          </cell>
          <cell r="D69">
            <v>0</v>
          </cell>
          <cell r="E69">
            <v>2236193.2987405825</v>
          </cell>
          <cell r="F69">
            <v>3483.461884844206</v>
          </cell>
          <cell r="G69">
            <v>0</v>
          </cell>
          <cell r="H69">
            <v>28258.75624247286</v>
          </cell>
          <cell r="I69">
            <v>92338.207184467014</v>
          </cell>
          <cell r="J69">
            <v>6674.1779344622992</v>
          </cell>
          <cell r="K69">
            <v>275.92251668857637</v>
          </cell>
          <cell r="L69">
            <v>369.98550616154284</v>
          </cell>
          <cell r="M69">
            <v>11871.038532721726</v>
          </cell>
        </row>
        <row r="70">
          <cell r="A70">
            <v>2021</v>
          </cell>
          <cell r="B70">
            <v>37.492219032881273</v>
          </cell>
          <cell r="C70">
            <v>71247.930444790312</v>
          </cell>
          <cell r="D70">
            <v>0</v>
          </cell>
          <cell r="E70">
            <v>1739381.4403898057</v>
          </cell>
          <cell r="F70">
            <v>8162.6017492438768</v>
          </cell>
          <cell r="G70">
            <v>0</v>
          </cell>
          <cell r="H70">
            <v>21916.956613715534</v>
          </cell>
          <cell r="I70">
            <v>71615.766217216355</v>
          </cell>
          <cell r="J70">
            <v>5176.3661134516842</v>
          </cell>
          <cell r="K70">
            <v>646.55382829850464</v>
          </cell>
          <cell r="L70">
            <v>866.96637989026215</v>
          </cell>
          <cell r="M70">
            <v>9206.952855567004</v>
          </cell>
        </row>
        <row r="71">
          <cell r="A71">
            <v>2022</v>
          </cell>
          <cell r="B71">
            <v>0.23381355953712721</v>
          </cell>
          <cell r="C71">
            <v>31913.268788311685</v>
          </cell>
          <cell r="D71">
            <v>0</v>
          </cell>
          <cell r="E71">
            <v>1285044.5198637326</v>
          </cell>
          <cell r="F71">
            <v>7881.2616498948037</v>
          </cell>
          <cell r="G71">
            <v>0</v>
          </cell>
          <cell r="H71">
            <v>15968.906923422455</v>
          </cell>
          <cell r="I71">
            <v>52179.941089842483</v>
          </cell>
          <cell r="J71">
            <v>3771.5504996500822</v>
          </cell>
          <cell r="K71">
            <v>624.26908087653533</v>
          </cell>
          <cell r="L71">
            <v>837.08468102222332</v>
          </cell>
          <cell r="M71">
            <v>6708.2750488669799</v>
          </cell>
        </row>
        <row r="72">
          <cell r="A72">
            <v>2023</v>
          </cell>
          <cell r="B72">
            <v>0</v>
          </cell>
          <cell r="C72">
            <v>26341.766782765888</v>
          </cell>
          <cell r="D72">
            <v>0</v>
          </cell>
          <cell r="E72">
            <v>627342.52823258447</v>
          </cell>
          <cell r="F72">
            <v>3632.2499649470597</v>
          </cell>
          <cell r="G72">
            <v>0</v>
          </cell>
          <cell r="H72">
            <v>7922.19214420342</v>
          </cell>
          <cell r="I72">
            <v>25886.525694543401</v>
          </cell>
          <cell r="J72">
            <v>1871.07031702773</v>
          </cell>
          <cell r="K72">
            <v>287.70791376550659</v>
          </cell>
          <cell r="L72">
            <v>385.78858796564316</v>
          </cell>
          <cell r="M72">
            <v>3327.9825693855278</v>
          </cell>
        </row>
        <row r="73">
          <cell r="A73">
            <v>2024</v>
          </cell>
          <cell r="B73">
            <v>0</v>
          </cell>
          <cell r="C73">
            <v>0</v>
          </cell>
          <cell r="D73">
            <v>0</v>
          </cell>
          <cell r="E73">
            <v>122407.28931667429</v>
          </cell>
          <cell r="F73">
            <v>4885.8936710868211</v>
          </cell>
          <cell r="G73">
            <v>0</v>
          </cell>
          <cell r="H73">
            <v>1543.5182972554885</v>
          </cell>
          <cell r="I73">
            <v>5043.5946685713352</v>
          </cell>
          <cell r="J73">
            <v>364.54951069282879</v>
          </cell>
          <cell r="K73">
            <v>387.00813230208678</v>
          </cell>
          <cell r="L73">
            <v>518.94061215754743</v>
          </cell>
          <cell r="M73">
            <v>648.40663989101006</v>
          </cell>
        </row>
        <row r="74">
          <cell r="A74">
            <v>2025</v>
          </cell>
          <cell r="B74">
            <v>0</v>
          </cell>
          <cell r="C74">
            <v>0</v>
          </cell>
          <cell r="D74">
            <v>0</v>
          </cell>
          <cell r="E74">
            <v>28681.176580835003</v>
          </cell>
          <cell r="F74">
            <v>5032.0118175460148</v>
          </cell>
          <cell r="G74">
            <v>0</v>
          </cell>
          <cell r="H74">
            <v>417.08436707208875</v>
          </cell>
          <cell r="I74">
            <v>1362.8633323295428</v>
          </cell>
          <cell r="J74">
            <v>98.507353106284981</v>
          </cell>
          <cell r="K74">
            <v>398.58204585064675</v>
          </cell>
          <cell r="L74">
            <v>534.46011492928767</v>
          </cell>
          <cell r="M74">
            <v>175.21027997215734</v>
          </cell>
        </row>
        <row r="75">
          <cell r="A75">
            <v>2026</v>
          </cell>
          <cell r="B75">
            <v>0</v>
          </cell>
          <cell r="C75">
            <v>0</v>
          </cell>
          <cell r="D75">
            <v>0</v>
          </cell>
          <cell r="E75">
            <v>1903.2308243508726</v>
          </cell>
          <cell r="F75">
            <v>240.24070567150136</v>
          </cell>
          <cell r="G75">
            <v>0</v>
          </cell>
          <cell r="H75">
            <v>26.341355136204406</v>
          </cell>
          <cell r="I75">
            <v>86.072914434595816</v>
          </cell>
          <cell r="J75">
            <v>6.2213244526895757</v>
          </cell>
          <cell r="K75">
            <v>19.029293935531275</v>
          </cell>
          <cell r="L75">
            <v>25.516449447946801</v>
          </cell>
          <cell r="M75">
            <v>11.065569876568151</v>
          </cell>
        </row>
        <row r="76">
          <cell r="A76">
            <v>2027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>
            <v>2028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>
            <v>2029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>
            <v>2030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106">
          <cell r="B106" t="str">
            <v>LoB_1</v>
          </cell>
          <cell r="C106" t="str">
            <v>LoB_2</v>
          </cell>
          <cell r="D106" t="str">
            <v>LoB_3</v>
          </cell>
          <cell r="E106" t="str">
            <v>LoB_4</v>
          </cell>
          <cell r="F106" t="str">
            <v>LoB_5</v>
          </cell>
          <cell r="G106" t="str">
            <v>LoB_6</v>
          </cell>
          <cell r="H106" t="str">
            <v>LoB_7</v>
          </cell>
          <cell r="I106" t="str">
            <v>LoB_8</v>
          </cell>
          <cell r="J106" t="str">
            <v>LoB_9</v>
          </cell>
          <cell r="K106" t="str">
            <v>LoB_10</v>
          </cell>
          <cell r="L106" t="str">
            <v>LoB_11</v>
          </cell>
          <cell r="M106" t="str">
            <v>LoB_12</v>
          </cell>
        </row>
        <row r="107">
          <cell r="A107" t="str">
            <v>1998 e pre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>
            <v>1999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>
            <v>2000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>
            <v>2001</v>
          </cell>
          <cell r="B110">
            <v>0</v>
          </cell>
          <cell r="C110">
            <v>0</v>
          </cell>
          <cell r="D110">
            <v>0</v>
          </cell>
          <cell r="E110">
            <v>0.27447865079887429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0.61</v>
          </cell>
          <cell r="K110">
            <v>0.70000154066587583</v>
          </cell>
          <cell r="L110">
            <v>0</v>
          </cell>
          <cell r="M110">
            <v>0</v>
          </cell>
        </row>
        <row r="111">
          <cell r="A111">
            <v>2002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0.65655278156391816</v>
          </cell>
          <cell r="L111">
            <v>0</v>
          </cell>
          <cell r="M111">
            <v>0</v>
          </cell>
        </row>
        <row r="112">
          <cell r="A112">
            <v>2003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0.65655574873237132</v>
          </cell>
          <cell r="L112">
            <v>0.70173884122011498</v>
          </cell>
          <cell r="M112">
            <v>0</v>
          </cell>
        </row>
        <row r="113">
          <cell r="A113">
            <v>2004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0.65655574873237132</v>
          </cell>
          <cell r="L113">
            <v>0.70173738952740095</v>
          </cell>
          <cell r="M113">
            <v>0</v>
          </cell>
        </row>
        <row r="114">
          <cell r="A114">
            <v>2005</v>
          </cell>
          <cell r="B114">
            <v>2.9243915729068742E-2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0.65655574873237144</v>
          </cell>
          <cell r="L114">
            <v>0.7017447711663759</v>
          </cell>
          <cell r="M114">
            <v>0</v>
          </cell>
        </row>
        <row r="115">
          <cell r="A115">
            <v>2006</v>
          </cell>
          <cell r="B115">
            <v>0.17945927667812062</v>
          </cell>
          <cell r="C115">
            <v>0</v>
          </cell>
          <cell r="D115">
            <v>0</v>
          </cell>
          <cell r="E115">
            <v>7.957757217614856E-3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0.65655534718051989</v>
          </cell>
          <cell r="L115">
            <v>0.70163253733550601</v>
          </cell>
          <cell r="M115">
            <v>0</v>
          </cell>
        </row>
        <row r="116">
          <cell r="A116">
            <v>2007</v>
          </cell>
          <cell r="B116">
            <v>0.32900867390988786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0.65655583919590621</v>
          </cell>
          <cell r="L116">
            <v>0.7017478258361125</v>
          </cell>
          <cell r="M116">
            <v>0</v>
          </cell>
        </row>
        <row r="117">
          <cell r="A117">
            <v>2008</v>
          </cell>
          <cell r="B117">
            <v>0.32900867390988781</v>
          </cell>
          <cell r="C117">
            <v>0</v>
          </cell>
          <cell r="D117">
            <v>0</v>
          </cell>
          <cell r="E117">
            <v>2.870008261375126E-4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0.65655620824176242</v>
          </cell>
          <cell r="L117">
            <v>0.70174135975308416</v>
          </cell>
          <cell r="M117">
            <v>0</v>
          </cell>
        </row>
        <row r="118">
          <cell r="A118">
            <v>2009</v>
          </cell>
          <cell r="B118">
            <v>0.32900866637339199</v>
          </cell>
          <cell r="C118">
            <v>0.75074625417314045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0.65655606877959138</v>
          </cell>
          <cell r="L118">
            <v>0</v>
          </cell>
          <cell r="M118">
            <v>0</v>
          </cell>
        </row>
        <row r="119">
          <cell r="A119">
            <v>2010</v>
          </cell>
          <cell r="B119">
            <v>3.6074420764227733E-2</v>
          </cell>
          <cell r="C119">
            <v>0.7289522184757169</v>
          </cell>
          <cell r="D119">
            <v>0</v>
          </cell>
          <cell r="E119">
            <v>7.7727387151309488E-2</v>
          </cell>
          <cell r="F119">
            <v>0</v>
          </cell>
          <cell r="G119">
            <v>0</v>
          </cell>
          <cell r="H119">
            <v>0</v>
          </cell>
          <cell r="I119">
            <v>0.87064458642597364</v>
          </cell>
          <cell r="J119">
            <v>0</v>
          </cell>
          <cell r="K119">
            <v>0.65655609618027866</v>
          </cell>
          <cell r="L119">
            <v>0.70174317679911491</v>
          </cell>
          <cell r="M119">
            <v>0</v>
          </cell>
        </row>
        <row r="120">
          <cell r="A120">
            <v>2011</v>
          </cell>
          <cell r="B120">
            <v>0</v>
          </cell>
          <cell r="C120">
            <v>0.68234294188029454</v>
          </cell>
          <cell r="D120">
            <v>0</v>
          </cell>
          <cell r="E120">
            <v>1.4166718500951695E-2</v>
          </cell>
          <cell r="F120">
            <v>4.39180011856935E-2</v>
          </cell>
          <cell r="G120">
            <v>0</v>
          </cell>
          <cell r="H120">
            <v>0.47476719569532144</v>
          </cell>
          <cell r="I120">
            <v>0.84334350625767285</v>
          </cell>
          <cell r="J120">
            <v>0</v>
          </cell>
          <cell r="K120">
            <v>0.65655574873237144</v>
          </cell>
          <cell r="L120">
            <v>0.70174169582379797</v>
          </cell>
          <cell r="M120">
            <v>0</v>
          </cell>
        </row>
        <row r="121">
          <cell r="A121">
            <v>2012</v>
          </cell>
          <cell r="B121">
            <v>0</v>
          </cell>
          <cell r="C121">
            <v>0.72883854126004233</v>
          </cell>
          <cell r="D121">
            <v>0</v>
          </cell>
          <cell r="E121">
            <v>0.20568983489632886</v>
          </cell>
          <cell r="F121">
            <v>2.327110165304519E-2</v>
          </cell>
          <cell r="G121">
            <v>0</v>
          </cell>
          <cell r="H121">
            <v>1.5750135667420302</v>
          </cell>
          <cell r="I121">
            <v>0.74161878781815238</v>
          </cell>
          <cell r="J121">
            <v>0</v>
          </cell>
          <cell r="K121">
            <v>0.69389382186483273</v>
          </cell>
          <cell r="L121">
            <v>0.70174129914081285</v>
          </cell>
          <cell r="M121">
            <v>0</v>
          </cell>
        </row>
        <row r="122">
          <cell r="A122">
            <v>2013</v>
          </cell>
          <cell r="B122">
            <v>0</v>
          </cell>
          <cell r="C122">
            <v>0.86280788359242444</v>
          </cell>
          <cell r="D122">
            <v>0</v>
          </cell>
          <cell r="E122">
            <v>1.3015556052748877E-2</v>
          </cell>
          <cell r="F122">
            <v>7.4378353864008581E-2</v>
          </cell>
          <cell r="G122">
            <v>0</v>
          </cell>
          <cell r="H122">
            <v>0.63560763198730863</v>
          </cell>
          <cell r="I122">
            <v>0.8051205247346912</v>
          </cell>
          <cell r="J122">
            <v>0</v>
          </cell>
          <cell r="K122">
            <v>0.56383679035417933</v>
          </cell>
          <cell r="L122">
            <v>1.0786183277469148</v>
          </cell>
          <cell r="M122">
            <v>0</v>
          </cell>
        </row>
        <row r="123">
          <cell r="A123">
            <v>2014</v>
          </cell>
          <cell r="B123">
            <v>0</v>
          </cell>
          <cell r="C123">
            <v>0.86031047151901996</v>
          </cell>
          <cell r="D123">
            <v>0</v>
          </cell>
          <cell r="E123">
            <v>0.14823098330584886</v>
          </cell>
          <cell r="F123">
            <v>0</v>
          </cell>
          <cell r="G123">
            <v>0</v>
          </cell>
          <cell r="H123">
            <v>0.35921946224800821</v>
          </cell>
          <cell r="I123">
            <v>0.71880002007376254</v>
          </cell>
          <cell r="J123">
            <v>0</v>
          </cell>
          <cell r="K123">
            <v>0.71730980047213133</v>
          </cell>
          <cell r="L123">
            <v>0.82873172451423305</v>
          </cell>
          <cell r="M123">
            <v>0</v>
          </cell>
        </row>
        <row r="124">
          <cell r="A124" t="str">
            <v>tot.</v>
          </cell>
          <cell r="B124">
            <v>0.20307190712533982</v>
          </cell>
          <cell r="C124">
            <v>0.81495702632153544</v>
          </cell>
          <cell r="D124">
            <v>0</v>
          </cell>
          <cell r="E124">
            <v>9.9022445493982272E-2</v>
          </cell>
          <cell r="F124">
            <v>9.877177613405794E-3</v>
          </cell>
          <cell r="G124">
            <v>0</v>
          </cell>
          <cell r="H124">
            <v>0.61235507068755324</v>
          </cell>
          <cell r="I124">
            <v>0.73911114659490695</v>
          </cell>
          <cell r="J124">
            <v>0.57765151515151514</v>
          </cell>
          <cell r="K124">
            <v>0.65984217288762304</v>
          </cell>
          <cell r="L124">
            <v>0.8286765461916249</v>
          </cell>
          <cell r="M124">
            <v>0</v>
          </cell>
        </row>
      </sheetData>
      <sheetData sheetId="12">
        <row r="177">
          <cell r="A177" t="str">
            <v>ASSICURAZIONI GENERALI S.P.A. (GENERALI GROUP)</v>
          </cell>
        </row>
      </sheetData>
      <sheetData sheetId="13"/>
      <sheetData sheetId="14"/>
      <sheetData sheetId="15"/>
      <sheetData sheetId="16"/>
      <sheetData sheetId="17"/>
      <sheetData sheetId="18">
        <row r="5">
          <cell r="C5">
            <v>0.42074867916221997</v>
          </cell>
        </row>
      </sheetData>
      <sheetData sheetId="19">
        <row r="2">
          <cell r="B2">
            <v>0.4</v>
          </cell>
        </row>
      </sheetData>
      <sheetData sheetId="20">
        <row r="2">
          <cell r="B2">
            <v>0</v>
          </cell>
          <cell r="C2">
            <v>2.0000000000000002E-5</v>
          </cell>
        </row>
        <row r="3">
          <cell r="B3">
            <v>1</v>
          </cell>
          <cell r="C3">
            <v>1E-4</v>
          </cell>
        </row>
        <row r="4">
          <cell r="B4">
            <v>2</v>
          </cell>
          <cell r="C4">
            <v>5.0000000000000001E-4</v>
          </cell>
        </row>
        <row r="5">
          <cell r="B5">
            <v>3</v>
          </cell>
          <cell r="C5">
            <v>2.3999999999999998E-3</v>
          </cell>
        </row>
        <row r="6">
          <cell r="B6">
            <v>4</v>
          </cell>
          <cell r="C6">
            <v>1.2E-2</v>
          </cell>
        </row>
        <row r="7">
          <cell r="B7">
            <v>5</v>
          </cell>
          <cell r="C7">
            <v>4.2000000000000003E-2</v>
          </cell>
        </row>
        <row r="8">
          <cell r="B8">
            <v>6</v>
          </cell>
          <cell r="C8">
            <v>4.2000000000000003E-2</v>
          </cell>
        </row>
      </sheetData>
      <sheetData sheetId="21">
        <row r="4">
          <cell r="A4">
            <v>1</v>
          </cell>
          <cell r="B4">
            <v>6.2E-4</v>
          </cell>
          <cell r="C4">
            <v>2.31E-3</v>
          </cell>
        </row>
        <row r="5">
          <cell r="A5">
            <v>2</v>
          </cell>
          <cell r="B5">
            <v>7.5000000000000002E-4</v>
          </cell>
          <cell r="C5">
            <v>2.4499999999999999E-3</v>
          </cell>
        </row>
        <row r="6">
          <cell r="A6">
            <v>3</v>
          </cell>
          <cell r="B6">
            <v>1.1999999999999999E-3</v>
          </cell>
          <cell r="C6">
            <v>2.8999999999999998E-3</v>
          </cell>
        </row>
        <row r="7">
          <cell r="A7">
            <v>4</v>
          </cell>
          <cell r="B7">
            <v>1.8400000000000001E-3</v>
          </cell>
          <cell r="C7">
            <v>3.5400000000000002E-3</v>
          </cell>
        </row>
        <row r="8">
          <cell r="A8">
            <v>5</v>
          </cell>
          <cell r="B8">
            <v>2.6099999999999999E-3</v>
          </cell>
          <cell r="C8">
            <v>4.3099999999999996E-3</v>
          </cell>
        </row>
        <row r="9">
          <cell r="A9">
            <v>6</v>
          </cell>
          <cell r="B9">
            <v>3.4299999999999999E-3</v>
          </cell>
          <cell r="C9">
            <v>5.13E-3</v>
          </cell>
        </row>
        <row r="10">
          <cell r="A10">
            <v>7</v>
          </cell>
          <cell r="B10">
            <v>4.3099999999999996E-3</v>
          </cell>
          <cell r="C10">
            <v>6.0099999999999997E-3</v>
          </cell>
        </row>
        <row r="11">
          <cell r="A11">
            <v>8</v>
          </cell>
          <cell r="B11">
            <v>5.2900000000000004E-3</v>
          </cell>
          <cell r="C11">
            <v>6.9899999999999997E-3</v>
          </cell>
        </row>
        <row r="12">
          <cell r="A12">
            <v>9</v>
          </cell>
          <cell r="B12">
            <v>6.28E-3</v>
          </cell>
          <cell r="C12">
            <v>7.9799999999999992E-3</v>
          </cell>
        </row>
        <row r="13">
          <cell r="A13">
            <v>10</v>
          </cell>
          <cell r="B13">
            <v>7.2300000000000003E-3</v>
          </cell>
          <cell r="C13">
            <v>8.9300000000000004E-3</v>
          </cell>
        </row>
        <row r="14">
          <cell r="A14">
            <v>11</v>
          </cell>
          <cell r="B14">
            <v>8.1700000000000002E-3</v>
          </cell>
          <cell r="C14">
            <v>9.8700000000000003E-3</v>
          </cell>
        </row>
        <row r="15">
          <cell r="A15">
            <v>12</v>
          </cell>
          <cell r="B15">
            <v>8.9499999999999996E-3</v>
          </cell>
          <cell r="C15">
            <v>1.065E-2</v>
          </cell>
        </row>
        <row r="16">
          <cell r="A16">
            <v>13</v>
          </cell>
          <cell r="B16">
            <v>9.6600000000000002E-3</v>
          </cell>
          <cell r="C16">
            <v>1.136E-2</v>
          </cell>
        </row>
        <row r="17">
          <cell r="A17">
            <v>14</v>
          </cell>
          <cell r="B17">
            <v>1.018E-2</v>
          </cell>
          <cell r="C17">
            <v>1.188E-2</v>
          </cell>
        </row>
        <row r="18">
          <cell r="A18">
            <v>15</v>
          </cell>
          <cell r="B18">
            <v>1.078E-2</v>
          </cell>
          <cell r="C18">
            <v>1.248E-2</v>
          </cell>
        </row>
        <row r="19">
          <cell r="A19">
            <v>16</v>
          </cell>
          <cell r="B19">
            <v>1.119E-2</v>
          </cell>
          <cell r="C19">
            <v>1.289E-2</v>
          </cell>
        </row>
        <row r="20">
          <cell r="A20">
            <v>17</v>
          </cell>
          <cell r="B20">
            <v>1.1599999999999999E-2</v>
          </cell>
          <cell r="C20">
            <v>1.3299999999999999E-2</v>
          </cell>
        </row>
        <row r="21">
          <cell r="A21">
            <v>18</v>
          </cell>
          <cell r="B21">
            <v>1.2E-2</v>
          </cell>
          <cell r="C21">
            <v>1.37E-2</v>
          </cell>
        </row>
        <row r="22">
          <cell r="A22">
            <v>19</v>
          </cell>
          <cell r="B22">
            <v>1.23E-2</v>
          </cell>
          <cell r="C22">
            <v>1.4E-2</v>
          </cell>
        </row>
        <row r="23">
          <cell r="A23">
            <v>20</v>
          </cell>
          <cell r="B23">
            <v>1.265E-2</v>
          </cell>
          <cell r="C23">
            <v>1.435E-2</v>
          </cell>
        </row>
        <row r="24">
          <cell r="A24">
            <v>21</v>
          </cell>
          <cell r="B24">
            <v>1.311E-2</v>
          </cell>
          <cell r="C24">
            <v>1.4800000000000001E-2</v>
          </cell>
        </row>
        <row r="25">
          <cell r="A25">
            <v>22</v>
          </cell>
          <cell r="B25">
            <v>1.3639999999999999E-2</v>
          </cell>
          <cell r="C25">
            <v>1.5310000000000001E-2</v>
          </cell>
        </row>
        <row r="26">
          <cell r="A26">
            <v>23</v>
          </cell>
          <cell r="B26">
            <v>1.423E-2</v>
          </cell>
          <cell r="C26">
            <v>1.5869999999999999E-2</v>
          </cell>
        </row>
        <row r="27">
          <cell r="A27">
            <v>24</v>
          </cell>
          <cell r="B27">
            <v>1.485E-2</v>
          </cell>
          <cell r="C27">
            <v>1.6459999999999999E-2</v>
          </cell>
        </row>
        <row r="28">
          <cell r="A28">
            <v>25</v>
          </cell>
          <cell r="B28">
            <v>1.549E-2</v>
          </cell>
          <cell r="C28">
            <v>1.7059999999999999E-2</v>
          </cell>
        </row>
        <row r="29">
          <cell r="A29">
            <v>26</v>
          </cell>
          <cell r="B29">
            <v>1.6129999999999999E-2</v>
          </cell>
          <cell r="C29">
            <v>1.7670000000000002E-2</v>
          </cell>
        </row>
        <row r="30">
          <cell r="A30">
            <v>27</v>
          </cell>
          <cell r="B30">
            <v>1.677E-2</v>
          </cell>
          <cell r="C30">
            <v>1.8270000000000002E-2</v>
          </cell>
        </row>
        <row r="31">
          <cell r="A31">
            <v>28</v>
          </cell>
          <cell r="B31">
            <v>1.7399999999999999E-2</v>
          </cell>
          <cell r="C31">
            <v>1.8859999999999998E-2</v>
          </cell>
        </row>
        <row r="32">
          <cell r="A32">
            <v>29</v>
          </cell>
          <cell r="B32">
            <v>1.8020000000000001E-2</v>
          </cell>
          <cell r="C32">
            <v>1.9449999999999999E-2</v>
          </cell>
        </row>
        <row r="33">
          <cell r="A33">
            <v>30</v>
          </cell>
          <cell r="B33">
            <v>1.8630000000000001E-2</v>
          </cell>
          <cell r="C33">
            <v>2.002E-2</v>
          </cell>
        </row>
        <row r="34">
          <cell r="A34">
            <v>31</v>
          </cell>
          <cell r="B34">
            <v>1.9220000000000001E-2</v>
          </cell>
          <cell r="C34">
            <v>2.0570000000000001E-2</v>
          </cell>
        </row>
        <row r="35">
          <cell r="A35">
            <v>32</v>
          </cell>
          <cell r="B35">
            <v>1.9789999999999999E-2</v>
          </cell>
          <cell r="C35">
            <v>2.111E-2</v>
          </cell>
        </row>
        <row r="36">
          <cell r="A36">
            <v>33</v>
          </cell>
          <cell r="B36">
            <v>2.035E-2</v>
          </cell>
          <cell r="C36">
            <v>2.163E-2</v>
          </cell>
        </row>
        <row r="37">
          <cell r="A37">
            <v>34</v>
          </cell>
          <cell r="B37">
            <v>2.0879999999999999E-2</v>
          </cell>
          <cell r="C37">
            <v>2.213E-2</v>
          </cell>
        </row>
        <row r="38">
          <cell r="A38">
            <v>35</v>
          </cell>
          <cell r="B38">
            <v>2.1399999999999999E-2</v>
          </cell>
          <cell r="C38">
            <v>2.2620000000000001E-2</v>
          </cell>
        </row>
        <row r="39">
          <cell r="A39">
            <v>36</v>
          </cell>
          <cell r="B39">
            <v>2.1899999999999999E-2</v>
          </cell>
          <cell r="C39">
            <v>2.308E-2</v>
          </cell>
        </row>
        <row r="40">
          <cell r="A40">
            <v>37</v>
          </cell>
          <cell r="B40">
            <v>2.2380000000000001E-2</v>
          </cell>
          <cell r="C40">
            <v>2.3529999999999999E-2</v>
          </cell>
        </row>
        <row r="41">
          <cell r="A41">
            <v>38</v>
          </cell>
          <cell r="B41">
            <v>2.2839999999999999E-2</v>
          </cell>
          <cell r="C41">
            <v>2.3970000000000002E-2</v>
          </cell>
        </row>
        <row r="42">
          <cell r="A42">
            <v>39</v>
          </cell>
          <cell r="B42">
            <v>2.3279999999999999E-2</v>
          </cell>
          <cell r="C42">
            <v>2.4379999999999999E-2</v>
          </cell>
        </row>
        <row r="43">
          <cell r="A43">
            <v>40</v>
          </cell>
          <cell r="B43">
            <v>2.3709999999999998E-2</v>
          </cell>
          <cell r="C43">
            <v>2.479E-2</v>
          </cell>
        </row>
        <row r="44">
          <cell r="A44">
            <v>41</v>
          </cell>
          <cell r="B44">
            <v>2.4119999999999999E-2</v>
          </cell>
          <cell r="C44">
            <v>2.5170000000000001E-2</v>
          </cell>
        </row>
        <row r="45">
          <cell r="A45">
            <v>42</v>
          </cell>
          <cell r="B45">
            <v>2.4510000000000001E-2</v>
          </cell>
          <cell r="C45">
            <v>2.554E-2</v>
          </cell>
        </row>
        <row r="46">
          <cell r="A46">
            <v>43</v>
          </cell>
          <cell r="B46">
            <v>2.4889999999999999E-2</v>
          </cell>
          <cell r="C46">
            <v>2.5899999999999999E-2</v>
          </cell>
        </row>
        <row r="47">
          <cell r="A47">
            <v>44</v>
          </cell>
          <cell r="B47">
            <v>2.5260000000000001E-2</v>
          </cell>
          <cell r="C47">
            <v>2.6239999999999999E-2</v>
          </cell>
        </row>
        <row r="48">
          <cell r="A48">
            <v>45</v>
          </cell>
          <cell r="B48">
            <v>2.5610000000000001E-2</v>
          </cell>
          <cell r="C48">
            <v>2.6579999999999999E-2</v>
          </cell>
        </row>
        <row r="49">
          <cell r="A49">
            <v>46</v>
          </cell>
          <cell r="B49">
            <v>2.5950000000000001E-2</v>
          </cell>
          <cell r="C49">
            <v>2.6890000000000001E-2</v>
          </cell>
        </row>
        <row r="50">
          <cell r="A50">
            <v>47</v>
          </cell>
          <cell r="B50">
            <v>2.6280000000000001E-2</v>
          </cell>
          <cell r="C50">
            <v>2.7199999999999998E-2</v>
          </cell>
        </row>
        <row r="51">
          <cell r="A51">
            <v>48</v>
          </cell>
          <cell r="B51">
            <v>2.6589999999999999E-2</v>
          </cell>
          <cell r="C51">
            <v>2.75E-2</v>
          </cell>
        </row>
        <row r="52">
          <cell r="A52">
            <v>49</v>
          </cell>
          <cell r="B52">
            <v>2.6890000000000001E-2</v>
          </cell>
          <cell r="C52">
            <v>2.7779999999999999E-2</v>
          </cell>
        </row>
        <row r="53">
          <cell r="A53">
            <v>50</v>
          </cell>
          <cell r="B53">
            <v>2.7189999999999999E-2</v>
          </cell>
          <cell r="C53">
            <v>2.8060000000000002E-2</v>
          </cell>
        </row>
        <row r="54">
          <cell r="A54">
            <v>51</v>
          </cell>
          <cell r="B54">
            <v>2.7470000000000001E-2</v>
          </cell>
          <cell r="C54">
            <v>2.8320000000000001E-2</v>
          </cell>
        </row>
        <row r="55">
          <cell r="A55">
            <v>52</v>
          </cell>
          <cell r="B55">
            <v>2.7740000000000001E-2</v>
          </cell>
          <cell r="C55">
            <v>2.8580000000000001E-2</v>
          </cell>
        </row>
        <row r="56">
          <cell r="A56">
            <v>53</v>
          </cell>
          <cell r="B56">
            <v>2.8000000000000001E-2</v>
          </cell>
          <cell r="C56">
            <v>2.8819999999999998E-2</v>
          </cell>
        </row>
        <row r="57">
          <cell r="A57">
            <v>54</v>
          </cell>
          <cell r="B57">
            <v>2.8250000000000001E-2</v>
          </cell>
          <cell r="C57">
            <v>2.9059999999999999E-2</v>
          </cell>
        </row>
        <row r="58">
          <cell r="A58">
            <v>55</v>
          </cell>
          <cell r="B58">
            <v>2.8500000000000001E-2</v>
          </cell>
          <cell r="C58">
            <v>2.929E-2</v>
          </cell>
        </row>
        <row r="59">
          <cell r="A59">
            <v>56</v>
          </cell>
          <cell r="B59">
            <v>2.8729999999999999E-2</v>
          </cell>
          <cell r="C59">
            <v>2.9510000000000002E-2</v>
          </cell>
        </row>
        <row r="60">
          <cell r="A60">
            <v>57</v>
          </cell>
          <cell r="B60">
            <v>2.896E-2</v>
          </cell>
          <cell r="C60">
            <v>2.9729999999999999E-2</v>
          </cell>
        </row>
        <row r="61">
          <cell r="A61">
            <v>58</v>
          </cell>
          <cell r="B61">
            <v>2.9180000000000001E-2</v>
          </cell>
          <cell r="C61">
            <v>2.9940000000000001E-2</v>
          </cell>
        </row>
        <row r="62">
          <cell r="A62">
            <v>59</v>
          </cell>
          <cell r="B62">
            <v>2.9399999999999999E-2</v>
          </cell>
          <cell r="C62">
            <v>3.014E-2</v>
          </cell>
        </row>
        <row r="63">
          <cell r="A63">
            <v>60</v>
          </cell>
          <cell r="B63">
            <v>2.9600000000000001E-2</v>
          </cell>
          <cell r="C63">
            <v>3.0329999999999999E-2</v>
          </cell>
        </row>
        <row r="64">
          <cell r="A64">
            <v>61</v>
          </cell>
          <cell r="B64">
            <v>2.981E-2</v>
          </cell>
          <cell r="C64">
            <v>3.0519999999999999E-2</v>
          </cell>
        </row>
        <row r="65">
          <cell r="A65">
            <v>62</v>
          </cell>
          <cell r="B65">
            <v>0.03</v>
          </cell>
          <cell r="C65">
            <v>3.0700000000000002E-2</v>
          </cell>
        </row>
        <row r="66">
          <cell r="A66">
            <v>63</v>
          </cell>
          <cell r="B66">
            <v>3.0190000000000002E-2</v>
          </cell>
          <cell r="C66">
            <v>3.0880000000000001E-2</v>
          </cell>
        </row>
        <row r="67">
          <cell r="A67">
            <v>64</v>
          </cell>
          <cell r="B67">
            <v>3.0370000000000001E-2</v>
          </cell>
          <cell r="C67">
            <v>3.1050000000000001E-2</v>
          </cell>
        </row>
        <row r="68">
          <cell r="A68">
            <v>65</v>
          </cell>
          <cell r="B68">
            <v>3.0550000000000001E-2</v>
          </cell>
          <cell r="C68">
            <v>3.1220000000000001E-2</v>
          </cell>
        </row>
        <row r="69">
          <cell r="A69">
            <v>66</v>
          </cell>
          <cell r="B69">
            <v>3.0720000000000001E-2</v>
          </cell>
          <cell r="C69">
            <v>3.1379999999999998E-2</v>
          </cell>
        </row>
        <row r="70">
          <cell r="A70">
            <v>67</v>
          </cell>
          <cell r="B70">
            <v>3.0890000000000001E-2</v>
          </cell>
          <cell r="C70">
            <v>3.1539999999999999E-2</v>
          </cell>
        </row>
        <row r="71">
          <cell r="A71">
            <v>68</v>
          </cell>
          <cell r="B71">
            <v>3.1050000000000001E-2</v>
          </cell>
          <cell r="C71">
            <v>3.1690000000000003E-2</v>
          </cell>
        </row>
        <row r="72">
          <cell r="A72">
            <v>69</v>
          </cell>
          <cell r="B72">
            <v>3.1210000000000002E-2</v>
          </cell>
          <cell r="C72">
            <v>3.184E-2</v>
          </cell>
        </row>
        <row r="73">
          <cell r="A73">
            <v>70</v>
          </cell>
          <cell r="B73">
            <v>3.1359999999999999E-2</v>
          </cell>
          <cell r="C73">
            <v>3.1980000000000001E-2</v>
          </cell>
        </row>
        <row r="74">
          <cell r="A74">
            <v>71</v>
          </cell>
          <cell r="B74">
            <v>3.1510000000000003E-2</v>
          </cell>
          <cell r="C74">
            <v>3.2120000000000003E-2</v>
          </cell>
        </row>
        <row r="75">
          <cell r="A75">
            <v>72</v>
          </cell>
          <cell r="B75">
            <v>3.1649999999999998E-2</v>
          </cell>
          <cell r="C75">
            <v>3.2259999999999997E-2</v>
          </cell>
        </row>
        <row r="76">
          <cell r="A76">
            <v>73</v>
          </cell>
          <cell r="B76">
            <v>3.1789999999999999E-2</v>
          </cell>
          <cell r="C76">
            <v>3.2390000000000002E-2</v>
          </cell>
        </row>
        <row r="77">
          <cell r="A77">
            <v>74</v>
          </cell>
          <cell r="B77">
            <v>3.193E-2</v>
          </cell>
          <cell r="C77">
            <v>3.252E-2</v>
          </cell>
        </row>
        <row r="78">
          <cell r="A78">
            <v>75</v>
          </cell>
          <cell r="B78">
            <v>3.2059999999999998E-2</v>
          </cell>
          <cell r="C78">
            <v>3.2649999999999998E-2</v>
          </cell>
        </row>
        <row r="79">
          <cell r="A79">
            <v>76</v>
          </cell>
          <cell r="B79">
            <v>3.2190000000000003E-2</v>
          </cell>
          <cell r="C79">
            <v>3.2770000000000001E-2</v>
          </cell>
        </row>
        <row r="80">
          <cell r="A80">
            <v>77</v>
          </cell>
          <cell r="B80">
            <v>3.2320000000000002E-2</v>
          </cell>
          <cell r="C80">
            <v>3.2890000000000003E-2</v>
          </cell>
        </row>
        <row r="81">
          <cell r="A81">
            <v>78</v>
          </cell>
          <cell r="B81">
            <v>3.2439999999999997E-2</v>
          </cell>
          <cell r="C81">
            <v>3.3000000000000002E-2</v>
          </cell>
        </row>
        <row r="82">
          <cell r="A82">
            <v>79</v>
          </cell>
          <cell r="B82">
            <v>3.2559999999999999E-2</v>
          </cell>
          <cell r="C82">
            <v>3.3119999999999997E-2</v>
          </cell>
        </row>
        <row r="83">
          <cell r="A83">
            <v>80</v>
          </cell>
          <cell r="B83">
            <v>3.2680000000000001E-2</v>
          </cell>
          <cell r="C83">
            <v>3.3230000000000003E-2</v>
          </cell>
        </row>
        <row r="84">
          <cell r="A84">
            <v>81</v>
          </cell>
          <cell r="B84">
            <v>3.2800000000000003E-2</v>
          </cell>
          <cell r="C84">
            <v>3.3340000000000002E-2</v>
          </cell>
        </row>
        <row r="85">
          <cell r="A85">
            <v>82</v>
          </cell>
          <cell r="B85">
            <v>3.2910000000000002E-2</v>
          </cell>
          <cell r="C85">
            <v>3.3439999999999998E-2</v>
          </cell>
        </row>
        <row r="86">
          <cell r="A86">
            <v>83</v>
          </cell>
          <cell r="B86">
            <v>3.3020000000000001E-2</v>
          </cell>
          <cell r="C86">
            <v>3.354E-2</v>
          </cell>
        </row>
        <row r="87">
          <cell r="A87">
            <v>84</v>
          </cell>
          <cell r="B87">
            <v>3.3119999999999997E-2</v>
          </cell>
          <cell r="C87">
            <v>3.3640000000000003E-2</v>
          </cell>
        </row>
        <row r="88">
          <cell r="A88">
            <v>85</v>
          </cell>
          <cell r="B88">
            <v>3.3230000000000003E-2</v>
          </cell>
          <cell r="C88">
            <v>3.3739999999999999E-2</v>
          </cell>
        </row>
        <row r="89">
          <cell r="A89">
            <v>86</v>
          </cell>
          <cell r="B89">
            <v>3.3329999999999999E-2</v>
          </cell>
          <cell r="C89">
            <v>3.3840000000000002E-2</v>
          </cell>
        </row>
        <row r="90">
          <cell r="A90">
            <v>87</v>
          </cell>
          <cell r="B90">
            <v>3.3430000000000001E-2</v>
          </cell>
          <cell r="C90">
            <v>3.3930000000000002E-2</v>
          </cell>
        </row>
        <row r="91">
          <cell r="A91">
            <v>88</v>
          </cell>
          <cell r="B91">
            <v>3.3520000000000001E-2</v>
          </cell>
          <cell r="C91">
            <v>3.4020000000000002E-2</v>
          </cell>
        </row>
        <row r="92">
          <cell r="A92">
            <v>89</v>
          </cell>
          <cell r="B92">
            <v>3.3619999999999997E-2</v>
          </cell>
          <cell r="C92">
            <v>3.4110000000000001E-2</v>
          </cell>
        </row>
        <row r="93">
          <cell r="A93">
            <v>90</v>
          </cell>
          <cell r="B93">
            <v>3.3709999999999997E-2</v>
          </cell>
          <cell r="C93">
            <v>3.4200000000000001E-2</v>
          </cell>
        </row>
        <row r="94">
          <cell r="A94">
            <v>91</v>
          </cell>
          <cell r="B94">
            <v>3.3799999999999997E-2</v>
          </cell>
          <cell r="C94">
            <v>3.4279999999999998E-2</v>
          </cell>
        </row>
        <row r="95">
          <cell r="A95">
            <v>92</v>
          </cell>
          <cell r="B95">
            <v>3.3890000000000003E-2</v>
          </cell>
          <cell r="C95">
            <v>3.4369999999999998E-2</v>
          </cell>
        </row>
        <row r="96">
          <cell r="A96">
            <v>93</v>
          </cell>
          <cell r="B96">
            <v>3.3980000000000003E-2</v>
          </cell>
          <cell r="C96">
            <v>3.4450000000000001E-2</v>
          </cell>
        </row>
        <row r="97">
          <cell r="A97">
            <v>94</v>
          </cell>
          <cell r="B97">
            <v>3.406E-2</v>
          </cell>
          <cell r="C97">
            <v>3.4529999999999998E-2</v>
          </cell>
        </row>
        <row r="98">
          <cell r="A98">
            <v>95</v>
          </cell>
          <cell r="B98">
            <v>3.415E-2</v>
          </cell>
          <cell r="C98">
            <v>3.4610000000000002E-2</v>
          </cell>
        </row>
        <row r="99">
          <cell r="A99">
            <v>96</v>
          </cell>
          <cell r="B99">
            <v>3.4229999999999997E-2</v>
          </cell>
          <cell r="C99">
            <v>3.4680000000000002E-2</v>
          </cell>
        </row>
        <row r="100">
          <cell r="A100">
            <v>97</v>
          </cell>
          <cell r="B100">
            <v>3.431E-2</v>
          </cell>
          <cell r="C100">
            <v>3.4759999999999999E-2</v>
          </cell>
        </row>
        <row r="101">
          <cell r="A101">
            <v>98</v>
          </cell>
          <cell r="B101">
            <v>3.4389999999999997E-2</v>
          </cell>
          <cell r="C101">
            <v>3.483E-2</v>
          </cell>
        </row>
        <row r="102">
          <cell r="A102">
            <v>99</v>
          </cell>
          <cell r="B102">
            <v>3.4459999999999998E-2</v>
          </cell>
          <cell r="C102">
            <v>3.49E-2</v>
          </cell>
        </row>
        <row r="103">
          <cell r="A103">
            <v>100</v>
          </cell>
          <cell r="B103">
            <v>3.4540000000000001E-2</v>
          </cell>
          <cell r="C103">
            <v>3.4979999999999997E-2</v>
          </cell>
        </row>
        <row r="104">
          <cell r="A104">
            <v>101</v>
          </cell>
          <cell r="B104">
            <v>3.4610000000000002E-2</v>
          </cell>
          <cell r="C104">
            <v>3.5040000000000002E-2</v>
          </cell>
        </row>
        <row r="105">
          <cell r="A105">
            <v>102</v>
          </cell>
          <cell r="B105">
            <v>3.4680000000000002E-2</v>
          </cell>
          <cell r="C105">
            <v>3.5110000000000002E-2</v>
          </cell>
        </row>
        <row r="106">
          <cell r="A106">
            <v>103</v>
          </cell>
          <cell r="B106">
            <v>3.4750000000000003E-2</v>
          </cell>
          <cell r="C106">
            <v>3.5180000000000003E-2</v>
          </cell>
        </row>
        <row r="107">
          <cell r="A107">
            <v>104</v>
          </cell>
          <cell r="B107">
            <v>3.4819999999999997E-2</v>
          </cell>
          <cell r="C107">
            <v>3.524E-2</v>
          </cell>
        </row>
        <row r="108">
          <cell r="A108">
            <v>105</v>
          </cell>
          <cell r="B108">
            <v>3.4889999999999997E-2</v>
          </cell>
          <cell r="C108">
            <v>3.5310000000000001E-2</v>
          </cell>
        </row>
        <row r="109">
          <cell r="A109">
            <v>106</v>
          </cell>
          <cell r="B109">
            <v>3.4959999999999998E-2</v>
          </cell>
          <cell r="C109">
            <v>3.5369999999999999E-2</v>
          </cell>
        </row>
        <row r="110">
          <cell r="A110">
            <v>107</v>
          </cell>
          <cell r="B110">
            <v>3.5020000000000003E-2</v>
          </cell>
          <cell r="C110">
            <v>3.5430000000000003E-2</v>
          </cell>
        </row>
        <row r="111">
          <cell r="A111">
            <v>108</v>
          </cell>
          <cell r="B111">
            <v>3.5090000000000003E-2</v>
          </cell>
          <cell r="C111">
            <v>3.5490000000000001E-2</v>
          </cell>
        </row>
        <row r="112">
          <cell r="A112">
            <v>109</v>
          </cell>
          <cell r="B112">
            <v>3.5150000000000001E-2</v>
          </cell>
          <cell r="C112">
            <v>3.5549999999999998E-2</v>
          </cell>
        </row>
        <row r="113">
          <cell r="A113">
            <v>110</v>
          </cell>
          <cell r="B113">
            <v>3.5209999999999998E-2</v>
          </cell>
          <cell r="C113">
            <v>3.5610000000000003E-2</v>
          </cell>
        </row>
        <row r="114">
          <cell r="A114">
            <v>111</v>
          </cell>
          <cell r="B114">
            <v>3.5270000000000003E-2</v>
          </cell>
          <cell r="C114">
            <v>3.567E-2</v>
          </cell>
        </row>
        <row r="115">
          <cell r="A115">
            <v>112</v>
          </cell>
          <cell r="B115">
            <v>3.533E-2</v>
          </cell>
          <cell r="C115">
            <v>3.5729999999999998E-2</v>
          </cell>
        </row>
        <row r="116">
          <cell r="A116">
            <v>113</v>
          </cell>
          <cell r="B116">
            <v>3.5389999999999998E-2</v>
          </cell>
          <cell r="C116">
            <v>3.5779999999999999E-2</v>
          </cell>
        </row>
        <row r="117">
          <cell r="A117">
            <v>114</v>
          </cell>
          <cell r="B117">
            <v>3.5450000000000002E-2</v>
          </cell>
          <cell r="C117">
            <v>3.5839999999999997E-2</v>
          </cell>
        </row>
        <row r="118">
          <cell r="A118">
            <v>115</v>
          </cell>
          <cell r="B118">
            <v>3.551E-2</v>
          </cell>
          <cell r="C118">
            <v>3.5889999999999998E-2</v>
          </cell>
        </row>
        <row r="119">
          <cell r="A119">
            <v>116</v>
          </cell>
          <cell r="B119">
            <v>3.5560000000000001E-2</v>
          </cell>
          <cell r="C119">
            <v>3.594E-2</v>
          </cell>
        </row>
        <row r="120">
          <cell r="A120">
            <v>117</v>
          </cell>
          <cell r="B120">
            <v>3.5619999999999999E-2</v>
          </cell>
          <cell r="C120">
            <v>3.5990000000000001E-2</v>
          </cell>
        </row>
        <row r="121">
          <cell r="A121">
            <v>118</v>
          </cell>
          <cell r="B121">
            <v>3.567E-2</v>
          </cell>
          <cell r="C121">
            <v>3.6040000000000003E-2</v>
          </cell>
        </row>
        <row r="122">
          <cell r="A122">
            <v>119</v>
          </cell>
          <cell r="B122">
            <v>3.5729999999999998E-2</v>
          </cell>
          <cell r="C122">
            <v>3.6089999999999997E-2</v>
          </cell>
        </row>
        <row r="123">
          <cell r="A123">
            <v>120</v>
          </cell>
          <cell r="B123">
            <v>3.5779999999999999E-2</v>
          </cell>
          <cell r="C123">
            <v>3.6139999999999999E-2</v>
          </cell>
        </row>
        <row r="124">
          <cell r="A124">
            <v>121</v>
          </cell>
          <cell r="B124">
            <v>3.5830000000000001E-2</v>
          </cell>
          <cell r="C124">
            <v>3.619E-2</v>
          </cell>
        </row>
        <row r="125">
          <cell r="A125">
            <v>122</v>
          </cell>
          <cell r="B125">
            <v>3.5880000000000002E-2</v>
          </cell>
          <cell r="C125">
            <v>3.6240000000000001E-2</v>
          </cell>
        </row>
        <row r="126">
          <cell r="A126">
            <v>123</v>
          </cell>
          <cell r="B126">
            <v>3.5929999999999997E-2</v>
          </cell>
          <cell r="C126">
            <v>3.6290000000000003E-2</v>
          </cell>
        </row>
        <row r="127">
          <cell r="A127">
            <v>124</v>
          </cell>
          <cell r="B127">
            <v>3.5979999999999998E-2</v>
          </cell>
          <cell r="C127">
            <v>3.6330000000000001E-2</v>
          </cell>
        </row>
        <row r="128">
          <cell r="A128">
            <v>125</v>
          </cell>
          <cell r="B128">
            <v>3.603E-2</v>
          </cell>
          <cell r="C128">
            <v>3.6380000000000003E-2</v>
          </cell>
        </row>
        <row r="129">
          <cell r="A129">
            <v>126</v>
          </cell>
          <cell r="B129">
            <v>3.6069999999999998E-2</v>
          </cell>
          <cell r="C129">
            <v>3.6420000000000001E-2</v>
          </cell>
        </row>
        <row r="130">
          <cell r="A130">
            <v>127</v>
          </cell>
          <cell r="B130">
            <v>3.6119999999999999E-2</v>
          </cell>
          <cell r="C130">
            <v>3.6459999999999999E-2</v>
          </cell>
        </row>
        <row r="131">
          <cell r="A131">
            <v>128</v>
          </cell>
          <cell r="B131">
            <v>3.6170000000000001E-2</v>
          </cell>
          <cell r="C131">
            <v>3.6510000000000001E-2</v>
          </cell>
        </row>
        <row r="132">
          <cell r="A132">
            <v>129</v>
          </cell>
          <cell r="B132">
            <v>3.6209999999999999E-2</v>
          </cell>
          <cell r="C132">
            <v>3.6549999999999999E-2</v>
          </cell>
        </row>
        <row r="133">
          <cell r="A133">
            <v>130</v>
          </cell>
          <cell r="B133">
            <v>3.6249999999999998E-2</v>
          </cell>
          <cell r="C133">
            <v>3.6589999999999998E-2</v>
          </cell>
        </row>
        <row r="134">
          <cell r="A134">
            <v>131</v>
          </cell>
          <cell r="B134">
            <v>3.6299999999999999E-2</v>
          </cell>
          <cell r="C134">
            <v>3.6630000000000003E-2</v>
          </cell>
        </row>
        <row r="135">
          <cell r="A135">
            <v>132</v>
          </cell>
          <cell r="B135">
            <v>3.6339999999999997E-2</v>
          </cell>
          <cell r="C135">
            <v>3.6670000000000001E-2</v>
          </cell>
        </row>
        <row r="136">
          <cell r="A136">
            <v>133</v>
          </cell>
          <cell r="B136">
            <v>3.6380000000000003E-2</v>
          </cell>
          <cell r="C136">
            <v>3.671E-2</v>
          </cell>
        </row>
        <row r="137">
          <cell r="A137">
            <v>134</v>
          </cell>
          <cell r="B137">
            <v>3.6429999999999997E-2</v>
          </cell>
          <cell r="C137">
            <v>3.6749999999999998E-2</v>
          </cell>
        </row>
        <row r="138">
          <cell r="A138">
            <v>135</v>
          </cell>
          <cell r="B138">
            <v>3.6470000000000002E-2</v>
          </cell>
          <cell r="C138">
            <v>3.6790000000000003E-2</v>
          </cell>
        </row>
        <row r="139">
          <cell r="A139">
            <v>136</v>
          </cell>
          <cell r="B139">
            <v>3.6510000000000001E-2</v>
          </cell>
          <cell r="C139">
            <v>3.6830000000000002E-2</v>
          </cell>
        </row>
        <row r="140">
          <cell r="A140">
            <v>137</v>
          </cell>
          <cell r="B140">
            <v>3.6549999999999999E-2</v>
          </cell>
          <cell r="C140">
            <v>3.687E-2</v>
          </cell>
        </row>
        <row r="141">
          <cell r="A141">
            <v>138</v>
          </cell>
          <cell r="B141">
            <v>3.6589999999999998E-2</v>
          </cell>
          <cell r="C141">
            <v>3.6900000000000002E-2</v>
          </cell>
        </row>
        <row r="142">
          <cell r="A142">
            <v>139</v>
          </cell>
          <cell r="B142">
            <v>3.6630000000000003E-2</v>
          </cell>
          <cell r="C142">
            <v>3.6940000000000001E-2</v>
          </cell>
        </row>
        <row r="143">
          <cell r="A143">
            <v>140</v>
          </cell>
          <cell r="B143">
            <v>3.6659999999999998E-2</v>
          </cell>
          <cell r="C143">
            <v>3.6979999999999999E-2</v>
          </cell>
        </row>
        <row r="144">
          <cell r="A144">
            <v>141</v>
          </cell>
          <cell r="B144">
            <v>3.6700000000000003E-2</v>
          </cell>
          <cell r="C144">
            <v>3.7010000000000001E-2</v>
          </cell>
        </row>
        <row r="145">
          <cell r="A145">
            <v>142</v>
          </cell>
          <cell r="B145">
            <v>3.6740000000000002E-2</v>
          </cell>
          <cell r="C145">
            <v>3.705E-2</v>
          </cell>
        </row>
        <row r="146">
          <cell r="A146">
            <v>143</v>
          </cell>
          <cell r="B146">
            <v>3.678E-2</v>
          </cell>
          <cell r="C146">
            <v>3.7080000000000002E-2</v>
          </cell>
        </row>
        <row r="147">
          <cell r="A147">
            <v>144</v>
          </cell>
          <cell r="B147">
            <v>3.6810000000000002E-2</v>
          </cell>
          <cell r="C147">
            <v>3.712E-2</v>
          </cell>
        </row>
        <row r="148">
          <cell r="A148">
            <v>145</v>
          </cell>
          <cell r="B148">
            <v>3.6850000000000001E-2</v>
          </cell>
          <cell r="C148">
            <v>3.7150000000000002E-2</v>
          </cell>
        </row>
        <row r="149">
          <cell r="A149">
            <v>146</v>
          </cell>
          <cell r="B149">
            <v>3.6880000000000003E-2</v>
          </cell>
          <cell r="C149">
            <v>3.7179999999999998E-2</v>
          </cell>
        </row>
        <row r="150">
          <cell r="A150">
            <v>147</v>
          </cell>
          <cell r="B150">
            <v>3.6920000000000001E-2</v>
          </cell>
          <cell r="C150">
            <v>3.7220000000000003E-2</v>
          </cell>
        </row>
        <row r="151">
          <cell r="A151">
            <v>148</v>
          </cell>
          <cell r="B151">
            <v>3.6949999999999997E-2</v>
          </cell>
          <cell r="C151">
            <v>3.7249999999999998E-2</v>
          </cell>
        </row>
        <row r="152">
          <cell r="A152">
            <v>149</v>
          </cell>
          <cell r="B152">
            <v>3.6990000000000002E-2</v>
          </cell>
          <cell r="C152">
            <v>3.7280000000000001E-2</v>
          </cell>
        </row>
        <row r="153">
          <cell r="A153">
            <v>150</v>
          </cell>
          <cell r="B153">
            <v>3.7019999999999997E-2</v>
          </cell>
          <cell r="C153">
            <v>3.7310000000000003E-2</v>
          </cell>
        </row>
      </sheetData>
      <sheetData sheetId="2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ad Me"/>
      <sheetName val="Sintesi"/>
      <sheetName val="Input_Lob_H"/>
      <sheetName val="Lob_H"/>
      <sheetName val="Lob_H (netto)"/>
      <sheetName val="BE_Sinistri_LoB_H"/>
      <sheetName val="Input_Lob_4"/>
      <sheetName val="Lob_4"/>
      <sheetName val="Lob_4 (netto)"/>
      <sheetName val="BE_Sinistri_LoB_4"/>
      <sheetName val="Input_Lob_5"/>
      <sheetName val="Lob_5"/>
      <sheetName val="Lob_5 (netto)"/>
      <sheetName val="BE_Sinistri_LoB_5"/>
      <sheetName val="Input_Lob_7"/>
      <sheetName val="Lob_7"/>
      <sheetName val="Lob_7 (netto)"/>
      <sheetName val="BE_Sinistri_LoB_7"/>
      <sheetName val="Input_Lob_8"/>
      <sheetName val="Lob_8"/>
      <sheetName val="Lob_8 (netto)"/>
      <sheetName val="BE_Sinistri_LoB_8"/>
      <sheetName val="Input_Lob_9"/>
      <sheetName val="Lob_9"/>
      <sheetName val="Lob_9 (netto)"/>
      <sheetName val="BE_Sinistri_LoB_9"/>
      <sheetName val="Input_Lob_10"/>
      <sheetName val="Lob_10"/>
      <sheetName val="Lob_10 (netto)"/>
      <sheetName val="BE_Sinistri_LoB_10"/>
      <sheetName val="Input_Lob_11"/>
      <sheetName val="Lob_11"/>
      <sheetName val="Lob_11 (netto)"/>
      <sheetName val="BE_Sinistri_LoB_11"/>
      <sheetName val="Input_Lob_12"/>
      <sheetName val="Lob_12"/>
      <sheetName val="Lob_12 (netto)"/>
      <sheetName val="BE_Sinistri_LoB_12"/>
      <sheetName val="Rfr"/>
      <sheetName val="Lob"/>
      <sheetName val="Rating"/>
      <sheetName val="Appoggio per RM"/>
      <sheetName val="ISA_BE_Sinistri_30_09_2015_con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>
        <row r="2">
          <cell r="C2" t="str">
            <v>CreditQuality</v>
          </cell>
          <cell r="D2" t="str">
            <v>ProbDefault</v>
          </cell>
        </row>
        <row r="3">
          <cell r="C3">
            <v>0</v>
          </cell>
          <cell r="D3">
            <v>2.0000000000000002E-5</v>
          </cell>
        </row>
        <row r="4">
          <cell r="C4">
            <v>1</v>
          </cell>
          <cell r="D4">
            <v>1E-4</v>
          </cell>
        </row>
        <row r="5">
          <cell r="C5">
            <v>2</v>
          </cell>
          <cell r="D5">
            <v>5.0000000000000001E-4</v>
          </cell>
        </row>
        <row r="6">
          <cell r="C6">
            <v>3</v>
          </cell>
          <cell r="D6">
            <v>2.3999999999999998E-3</v>
          </cell>
        </row>
        <row r="7">
          <cell r="C7">
            <v>4</v>
          </cell>
          <cell r="D7">
            <v>1.2E-2</v>
          </cell>
        </row>
        <row r="8">
          <cell r="C8">
            <v>5</v>
          </cell>
          <cell r="D8">
            <v>4.2000000000000003E-2</v>
          </cell>
        </row>
        <row r="9">
          <cell r="C9">
            <v>6</v>
          </cell>
          <cell r="D9">
            <v>4.2000000000000003E-2</v>
          </cell>
        </row>
        <row r="10">
          <cell r="C10" t="str">
            <v>Unrated</v>
          </cell>
          <cell r="D10">
            <v>0</v>
          </cell>
        </row>
      </sheetData>
      <sheetData sheetId="41"/>
      <sheetData sheetId="4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BS"/>
      <sheetName val="SCR"/>
      <sheetName val="RM"/>
      <sheetName val="MCR"/>
      <sheetName val="Group SCR"/>
      <sheetName val="Aggregation"/>
      <sheetName val="Yields"/>
      <sheetName val="Non Life &amp; Health Prem&amp;Res"/>
      <sheetName val="Non Life &amp; Health Lapse"/>
      <sheetName val="Health CAT"/>
      <sheetName val="NL Nat CAT"/>
      <sheetName val="NL Man-made CAT"/>
      <sheetName val="NL Other CAT"/>
      <sheetName val="NP Property"/>
      <sheetName val="Shock Assets"/>
      <sheetName val="Shock BE"/>
      <sheetName val="Interest Rate"/>
      <sheetName val="Equity"/>
      <sheetName val="Property"/>
      <sheetName val="Currency"/>
      <sheetName val="Spread"/>
      <sheetName val="Concentration"/>
      <sheetName val="CCP"/>
      <sheetName val="Counterparty Default"/>
      <sheetName val="Risk Mitigation CD"/>
      <sheetName val="Intangibles"/>
      <sheetName val="Operational"/>
      <sheetName val="SCR Allocation"/>
      <sheetName val="Comments"/>
      <sheetName val="Input"/>
      <sheetName val="RiskCont_Calc"/>
      <sheetName val="Calc_NL_CAT_Nat"/>
      <sheetName val="List Sheets"/>
      <sheetName val="Change Log"/>
    </sheetNames>
    <sheetDataSet>
      <sheetData sheetId="0">
        <row r="6">
          <cell r="C6">
            <v>41639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16">
          <cell r="C16">
            <v>1</v>
          </cell>
        </row>
      </sheetData>
      <sheetData sheetId="16"/>
      <sheetData sheetId="17">
        <row r="8">
          <cell r="G8">
            <v>0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.01.01.01.01"/>
      <sheetName val="CRT_Filters"/>
      <sheetName val="Sheet2"/>
      <sheetName val="Sheet3"/>
    </sheetNames>
    <sheetDataSet>
      <sheetData sheetId="0"/>
      <sheetData sheetId="1">
        <row r="1">
          <cell r="LA1" t="str">
            <v>Reported    {s2c_CN:x1}</v>
          </cell>
          <cell r="LB1" t="str">
            <v>Reported    {s2c_CN:x1}</v>
          </cell>
          <cell r="LC1" t="str">
            <v>Reported    {s2c_CN:x1}</v>
          </cell>
          <cell r="LD1" t="str">
            <v>Reported    {s2c_CN:x1}</v>
          </cell>
          <cell r="LE1" t="str">
            <v>Reported    {s2c_CN:x1}</v>
          </cell>
          <cell r="LF1" t="str">
            <v>Reported    {s2c_CN:x1}</v>
          </cell>
          <cell r="LG1" t="str">
            <v>Reported    {s2c_CN:x1}</v>
          </cell>
          <cell r="LH1" t="str">
            <v>Reported    {s2c_CN:x1}</v>
          </cell>
          <cell r="LI1" t="str">
            <v>Reported    {s2c_CN:x1}</v>
          </cell>
          <cell r="LJ1" t="str">
            <v>Reported    {s2c_CN:x1}</v>
          </cell>
          <cell r="LK1" t="str">
            <v>Reported    {s2c_CN:x1}</v>
          </cell>
          <cell r="LL1" t="str">
            <v>Reported    {s2c_CN:x1}</v>
          </cell>
          <cell r="LM1" t="str">
            <v>Reported    {s2c_CN:x1}</v>
          </cell>
          <cell r="LN1" t="str">
            <v>Reported    {s2c_CN:x1}</v>
          </cell>
          <cell r="LO1" t="str">
            <v>Reported    {s2c_CN:x1}</v>
          </cell>
          <cell r="LP1" t="str">
            <v>Reported    {s2c_CN:x1}</v>
          </cell>
          <cell r="LQ1" t="str">
            <v>Reported    {s2c_CN:x1}</v>
          </cell>
          <cell r="LR1" t="str">
            <v>Reported    {s2c_CN:x1}</v>
          </cell>
          <cell r="LS1" t="str">
            <v>Reported    {s2c_CN:x1}</v>
          </cell>
          <cell r="LT1" t="str">
            <v>Reported    {s2c_CN:x1}</v>
          </cell>
        </row>
        <row r="2">
          <cell r="LB2" t="str">
            <v>Not reported    {s2c_CN:x0}</v>
          </cell>
          <cell r="LC2" t="str">
            <v>Not reported o/a below threshold (of non-home currency total being &lt;10% of assets and liabilities)    {s2c_CN:x9}</v>
          </cell>
          <cell r="LD2" t="str">
            <v>Not reported    {s2c_CN:x0}</v>
          </cell>
          <cell r="LE2" t="str">
            <v>Not reported o/a no derivative transactions    {s2c_CN:x3}</v>
          </cell>
          <cell r="LF2" t="str">
            <v>Not reported o/a no life and health SLT business    {s2c_CN:x4}</v>
          </cell>
          <cell r="LG2" t="str">
            <v>Not reported o/a no non-life business    {s2c_CN:x6}</v>
          </cell>
          <cell r="LH2" t="str">
            <v>Not reported    {s2c_CN:x0}</v>
          </cell>
          <cell r="LI2" t="str">
            <v>Not reported o/a use full internal model    {s2c_CN:x11}</v>
          </cell>
          <cell r="LJ2" t="str">
            <v>Not reported o/a full use of Standard Formula    {s2c_CN:x10}</v>
          </cell>
          <cell r="LK2" t="str">
            <v>Not reported o/a full use of Standard Formula    {s2c_CN:x10}</v>
          </cell>
          <cell r="LL2" t="str">
            <v>Not reported o/a use full internal model    {s2c_CN:x11}</v>
          </cell>
          <cell r="LM2" t="str">
            <v>Not reported o/a use full internal model    {s2c_CN:x11}</v>
          </cell>
          <cell r="LN2" t="str">
            <v>Not reported o/a use full internal model    {s2c_CN:x11}</v>
          </cell>
          <cell r="LO2" t="str">
            <v>Not reported o/a use full internal model    {s2c_CN:x11}</v>
          </cell>
          <cell r="LP2" t="str">
            <v>Not reported o/a use full internal model    {s2c_CN:x11}</v>
          </cell>
          <cell r="LQ2" t="str">
            <v>Not reported o/a use full internal model    {s2c_CN:x11}</v>
          </cell>
          <cell r="LR2" t="str">
            <v>Not reported o/a use full internal model    {s2c_CN:x11}</v>
          </cell>
          <cell r="LS2" t="str">
            <v>Not reported o/a composite undertaking    {s2c_CN:x7}</v>
          </cell>
          <cell r="LT2" t="str">
            <v>Not reported o/a non-composite undertaking    {s2c_CN:x8}</v>
          </cell>
        </row>
        <row r="3">
          <cell r="LC3" t="str">
            <v>Not reported other reason    {s2c_CN:x2}</v>
          </cell>
          <cell r="LE3" t="str">
            <v>Not reported other reason    {s2c_CN:x2}</v>
          </cell>
          <cell r="LF3" t="str">
            <v>Not reported o/a materiality threshold    {s2c_CN:x5}</v>
          </cell>
          <cell r="LG3" t="str">
            <v>Not reported o/a materiality threshold    {s2c_CN:x5}</v>
          </cell>
          <cell r="LI3" t="str">
            <v>Not reported other reason    {s2c_CN:x2}</v>
          </cell>
          <cell r="LJ3" t="str">
            <v>Not reported o/a use full internal model    {s2c_CN:x11}</v>
          </cell>
          <cell r="LK3" t="str">
            <v>Not reported o/a use partial internal model    {s2c_CN:x12}</v>
          </cell>
          <cell r="LL3" t="str">
            <v>Risk not existent    {s2c_CN:x13}</v>
          </cell>
          <cell r="LM3" t="str">
            <v>Risk not existent    {s2c_CN:x13}</v>
          </cell>
          <cell r="LN3" t="str">
            <v>Risk not existent    {s2c_CN:x13}</v>
          </cell>
          <cell r="LO3" t="str">
            <v>Risk not existent    {s2c_CN:x13}</v>
          </cell>
          <cell r="LP3" t="str">
            <v>Risk not existent    {s2c_CN:x13}</v>
          </cell>
          <cell r="LQ3" t="str">
            <v>Risk not existent    {s2c_CN:x13}</v>
          </cell>
          <cell r="LR3" t="str">
            <v>Risk not existent    {s2c_CN:x13}</v>
          </cell>
          <cell r="LS3" t="str">
            <v>Not reported other reason    {s2c_CN:x2}</v>
          </cell>
          <cell r="LT3" t="str">
            <v>Not reported other reason    {s2c_CN:x2}</v>
          </cell>
        </row>
        <row r="4">
          <cell r="LF4" t="str">
            <v>Not reported other reason    {s2c_CN:x2}</v>
          </cell>
          <cell r="LG4" t="str">
            <v>Not reported other reason    {s2c_CN:x2}</v>
          </cell>
          <cell r="LJ4" t="str">
            <v>Not reported other reason    {s2c_CN:x2}</v>
          </cell>
          <cell r="LK4" t="str">
            <v>Not reported other reason    {s2c_CN:x2}</v>
          </cell>
          <cell r="LL4" t="str">
            <v>Not reported other reason    {s2c_CN:x2}</v>
          </cell>
          <cell r="LM4" t="str">
            <v>Not reported other reason    {s2c_CN:x2}</v>
          </cell>
          <cell r="LN4" t="str">
            <v>Not reported other reason    {s2c_CN:x2}</v>
          </cell>
          <cell r="LO4" t="str">
            <v>Not reported other reason    {s2c_CN:x2}</v>
          </cell>
          <cell r="LP4" t="str">
            <v>Not reported other reason    {s2c_CN:x2}</v>
          </cell>
          <cell r="LQ4" t="str">
            <v>Not reported other reason    {s2c_CN:x2}</v>
          </cell>
          <cell r="LR4" t="str">
            <v>Not reported other reason    {s2c_CN:x2}</v>
          </cell>
        </row>
      </sheetData>
      <sheetData sheetId="2"/>
      <sheetData sheetId="3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.01.02.01.01"/>
      <sheetName val="CRT_Filters"/>
      <sheetName val="Sheet2"/>
      <sheetName val="Sheet3"/>
    </sheetNames>
    <sheetDataSet>
      <sheetData sheetId="0" refreshError="1"/>
      <sheetData sheetId="1">
        <row r="1">
          <cell r="KU1" t="str">
            <v>Total/NA    {s2c_CU:x0}</v>
          </cell>
          <cell r="KV1" t="str">
            <v>Statutory accounts    {s2c_AM:x84}</v>
          </cell>
          <cell r="KW1" t="str">
            <v>Total/NA    {s2c_AP:x0}</v>
          </cell>
          <cell r="KX1" t="str">
            <v>Total/NA    {s2c_SE:x0}</v>
          </cell>
          <cell r="KY1" t="str">
            <v>Total/NA    {s2c_PU:x0}</v>
          </cell>
          <cell r="KZ1" t="str">
            <v>AUSTRIA    {s2c_GA:AT}</v>
          </cell>
        </row>
        <row r="2">
          <cell r="KU2" t="str">
            <v xml:space="preserve">  EUR    {s2c_CU:EUR}</v>
          </cell>
          <cell r="KV2" t="str">
            <v xml:space="preserve">  IFRS    {s2c_AM:x45}</v>
          </cell>
          <cell r="KW2" t="str">
            <v xml:space="preserve">  Standard formula or partial internal model    {s2c_AP:x4}</v>
          </cell>
          <cell r="KX2" t="str">
            <v xml:space="preserve">  Composite undertaking    {s2c_SE:x10}</v>
          </cell>
          <cell r="KY2" t="str">
            <v xml:space="preserve">  Reporting activity by RFF    {s2c_PU:x4}</v>
          </cell>
          <cell r="KZ2" t="str">
            <v>BELGIUM    {s2c_GA:BE}</v>
          </cell>
        </row>
        <row r="3">
          <cell r="KU3" t="str">
            <v xml:space="preserve">  AED    {s2c_CU:AED}</v>
          </cell>
          <cell r="KV3" t="str">
            <v xml:space="preserve">  Local GAAP    {s2c_AM:x50}</v>
          </cell>
          <cell r="KW3" t="str">
            <v xml:space="preserve">  Full internal model    {s2c_AP:x1}</v>
          </cell>
          <cell r="KX3" t="str">
            <v xml:space="preserve">  Non-composite undertaking    {s2c_SE:x56}</v>
          </cell>
          <cell r="KY3" t="str">
            <v xml:space="preserve">  Not reporting activity by RFF    {s2c_PU:x17}</v>
          </cell>
          <cell r="KZ3" t="str">
            <v>BULGARIA    {s2c_GA:BG}</v>
          </cell>
        </row>
        <row r="4">
          <cell r="KU4" t="str">
            <v xml:space="preserve">  AFN    {s2c_CU:AFN}</v>
          </cell>
          <cell r="KV4" t="str">
            <v>Prudential    {s2c_AM:x95}</v>
          </cell>
          <cell r="KZ4" t="str">
            <v>CYPRUS    {s2c_GA:CY}</v>
          </cell>
        </row>
        <row r="5">
          <cell r="KU5" t="str">
            <v xml:space="preserve">  ALL    {s2c_CU:ALL}</v>
          </cell>
          <cell r="KV5" t="str">
            <v xml:space="preserve">  Solvency II    {s2c_AM:x80}</v>
          </cell>
          <cell r="KZ5" t="str">
            <v>CZECH REPUBLIC    {s2c_GA:CZ}</v>
          </cell>
        </row>
        <row r="6">
          <cell r="KU6" t="str">
            <v xml:space="preserve">  AMD    {s2c_CU:AMD}</v>
          </cell>
          <cell r="KV6" t="str">
            <v xml:space="preserve">     Accrued interests    {s2c_AM:x5}</v>
          </cell>
          <cell r="KZ6" t="str">
            <v>DENMARK    {s2c_GA:DK}</v>
          </cell>
        </row>
        <row r="7">
          <cell r="KU7" t="str">
            <v xml:space="preserve">  ANG    {s2c_CU:ANG}</v>
          </cell>
          <cell r="KV7" t="str">
            <v xml:space="preserve">     Solvency II without accrued interests    {s2c_AM:x81}</v>
          </cell>
          <cell r="KZ7" t="str">
            <v>ESTONIA    {s2c_GA:EE}</v>
          </cell>
        </row>
        <row r="8">
          <cell r="KU8" t="str">
            <v xml:space="preserve">  AOA    {s2c_CU:AOA}</v>
          </cell>
          <cell r="KV8" t="str">
            <v xml:space="preserve">  Prudential other than Solvency II    {s2c_AM:x72}</v>
          </cell>
          <cell r="KZ8" t="str">
            <v>FINLAND    {s2c_GA:FI}</v>
          </cell>
        </row>
        <row r="9">
          <cell r="KU9" t="str">
            <v xml:space="preserve">  ARS    {s2c_CU:ARS}</v>
          </cell>
          <cell r="KV9" t="str">
            <v>Difference between Solvency II and statutory account    {s2c_AM:x24}</v>
          </cell>
          <cell r="KZ9" t="str">
            <v>FRANCE    {s2c_GA:FR}</v>
          </cell>
        </row>
        <row r="10">
          <cell r="KU10" t="str">
            <v xml:space="preserve">  AUD    {s2c_CU:AUD}</v>
          </cell>
          <cell r="KV10" t="str">
            <v>Statutory accounts values adjusted for Solvency II valuation differences    {s2c_AM:x85}</v>
          </cell>
          <cell r="KZ10" t="str">
            <v>GERMANY    {s2c_GA:DE}</v>
          </cell>
        </row>
        <row r="11">
          <cell r="KU11" t="str">
            <v xml:space="preserve">  AWG    {s2c_CU:AWG}</v>
          </cell>
          <cell r="KZ11" t="str">
            <v>GREECE    {s2c_GA:GR}</v>
          </cell>
        </row>
        <row r="12">
          <cell r="KU12" t="str">
            <v xml:space="preserve">  AZN    {s2c_CU:AZN}</v>
          </cell>
          <cell r="KZ12" t="str">
            <v>CROATIA    {s2c_GA:HR}</v>
          </cell>
        </row>
        <row r="13">
          <cell r="KU13" t="str">
            <v xml:space="preserve">  BAM    {s2c_CU:BAM}</v>
          </cell>
          <cell r="KZ13" t="str">
            <v>HUNGARY    {s2c_GA:HU}</v>
          </cell>
        </row>
        <row r="14">
          <cell r="KU14" t="str">
            <v xml:space="preserve">  BBD    {s2c_CU:BBD}</v>
          </cell>
          <cell r="KZ14" t="str">
            <v>ICELAND    {s2c_GA:IS}</v>
          </cell>
        </row>
        <row r="15">
          <cell r="KU15" t="str">
            <v xml:space="preserve">  BDT    {s2c_CU:BDT}</v>
          </cell>
          <cell r="KZ15" t="str">
            <v>IRELAND    {s2c_GA:IE}</v>
          </cell>
        </row>
        <row r="16">
          <cell r="KU16" t="str">
            <v xml:space="preserve">  BGN    {s2c_CU:BGN}</v>
          </cell>
          <cell r="KZ16" t="str">
            <v>ITALY    {s2c_GA:IT}</v>
          </cell>
        </row>
        <row r="17">
          <cell r="KU17" t="str">
            <v xml:space="preserve">  BHD    {s2c_CU:BHD}</v>
          </cell>
          <cell r="KZ17" t="str">
            <v>LATVIA    {s2c_GA:LV}</v>
          </cell>
        </row>
        <row r="18">
          <cell r="KU18" t="str">
            <v xml:space="preserve">  BIF    {s2c_CU:BIF}</v>
          </cell>
          <cell r="KZ18" t="str">
            <v>LIECHTENSTEIN    {s2c_GA:LI}</v>
          </cell>
        </row>
        <row r="19">
          <cell r="KU19" t="str">
            <v xml:space="preserve">  BMD    {s2c_CU:BMD}</v>
          </cell>
          <cell r="KZ19" t="str">
            <v>LITHUANIA    {s2c_GA:LT}</v>
          </cell>
        </row>
        <row r="20">
          <cell r="KU20" t="str">
            <v xml:space="preserve">  BND    {s2c_CU:BND}</v>
          </cell>
          <cell r="KZ20" t="str">
            <v>LUXEMBOURG    {s2c_GA:LU}</v>
          </cell>
        </row>
        <row r="21">
          <cell r="KU21" t="str">
            <v xml:space="preserve">  BOB    {s2c_CU:BOB}</v>
          </cell>
          <cell r="KZ21" t="str">
            <v>MALTA    {s2c_GA:MT}</v>
          </cell>
        </row>
        <row r="22">
          <cell r="KU22" t="str">
            <v xml:space="preserve">  BOV    {s2c_CU:BOV}</v>
          </cell>
          <cell r="KZ22" t="str">
            <v>NETHERLANDS    {s2c_GA:NL}</v>
          </cell>
        </row>
        <row r="23">
          <cell r="KU23" t="str">
            <v xml:space="preserve">  BRL    {s2c_CU:BRL}</v>
          </cell>
          <cell r="KZ23" t="str">
            <v>NORWAY    {s2c_GA:NO}</v>
          </cell>
        </row>
        <row r="24">
          <cell r="KU24" t="str">
            <v xml:space="preserve">  BSD    {s2c_CU:BSD}</v>
          </cell>
          <cell r="KZ24" t="str">
            <v>POLAND    {s2c_GA:PL}</v>
          </cell>
        </row>
        <row r="25">
          <cell r="KU25" t="str">
            <v xml:space="preserve">  BTN    {s2c_CU:BTN}</v>
          </cell>
          <cell r="KZ25" t="str">
            <v>PORTUGAL    {s2c_GA:PT}</v>
          </cell>
        </row>
        <row r="26">
          <cell r="KU26" t="str">
            <v xml:space="preserve">  BWP    {s2c_CU:BWP}</v>
          </cell>
          <cell r="KZ26" t="str">
            <v>ROMANIA    {s2c_GA:RO}</v>
          </cell>
        </row>
        <row r="27">
          <cell r="KU27" t="str">
            <v xml:space="preserve">  BYR    {s2c_CU:BYR}</v>
          </cell>
          <cell r="KZ27" t="str">
            <v>SLOVAKIA    {s2c_GA:SK}</v>
          </cell>
        </row>
        <row r="28">
          <cell r="KU28" t="str">
            <v xml:space="preserve">  BZD    {s2c_CU:BZD}</v>
          </cell>
          <cell r="KZ28" t="str">
            <v>SLOVENIA    {s2c_GA:SI}</v>
          </cell>
        </row>
        <row r="29">
          <cell r="KU29" t="str">
            <v xml:space="preserve">  CAD    {s2c_CU:CAD}</v>
          </cell>
          <cell r="KZ29" t="str">
            <v>SPAIN    {s2c_GA:ES}</v>
          </cell>
        </row>
        <row r="30">
          <cell r="KU30" t="str">
            <v xml:space="preserve">  CDF    {s2c_CU:CDF}</v>
          </cell>
          <cell r="KZ30" t="str">
            <v>SWEDEN    {s2c_GA:SE}</v>
          </cell>
        </row>
        <row r="31">
          <cell r="KU31" t="str">
            <v xml:space="preserve">  CHE    {s2c_CU:CHE}</v>
          </cell>
          <cell r="KZ31" t="str">
            <v>UNITED KINGDOM    {s2c_GA:GB}</v>
          </cell>
        </row>
        <row r="32">
          <cell r="KU32" t="str">
            <v xml:space="preserve">  CHF    {s2c_CU:CHF}</v>
          </cell>
        </row>
        <row r="33">
          <cell r="KU33" t="str">
            <v xml:space="preserve">  CHW    {s2c_CU:CHW}</v>
          </cell>
        </row>
        <row r="34">
          <cell r="KU34" t="str">
            <v xml:space="preserve">  CLF    {s2c_CU:CLF}</v>
          </cell>
        </row>
        <row r="35">
          <cell r="KU35" t="str">
            <v xml:space="preserve">  CLP    {s2c_CU:CLP}</v>
          </cell>
        </row>
        <row r="36">
          <cell r="KU36" t="str">
            <v xml:space="preserve">  CNY    {s2c_CU:CNY}</v>
          </cell>
        </row>
        <row r="37">
          <cell r="KU37" t="str">
            <v xml:space="preserve">  COP    {s2c_CU:COP}</v>
          </cell>
        </row>
        <row r="38">
          <cell r="KU38" t="str">
            <v xml:space="preserve">  COU    {s2c_CU:COU}</v>
          </cell>
        </row>
        <row r="39">
          <cell r="KU39" t="str">
            <v xml:space="preserve">  CRC    {s2c_CU:CRC}</v>
          </cell>
        </row>
        <row r="40">
          <cell r="KU40" t="str">
            <v xml:space="preserve">  CUC    {s2c_CU:CUC}</v>
          </cell>
        </row>
        <row r="41">
          <cell r="KU41" t="str">
            <v xml:space="preserve">  CUP    {s2c_CU:CUP}</v>
          </cell>
        </row>
        <row r="42">
          <cell r="KU42" t="str">
            <v xml:space="preserve">  CVE    {s2c_CU:CVE}</v>
          </cell>
        </row>
        <row r="43">
          <cell r="KU43" t="str">
            <v xml:space="preserve">  CZK    {s2c_CU:CZK}</v>
          </cell>
        </row>
        <row r="44">
          <cell r="KU44" t="str">
            <v xml:space="preserve">  DJF    {s2c_CU:DJF}</v>
          </cell>
        </row>
        <row r="45">
          <cell r="KU45" t="str">
            <v xml:space="preserve">  DKK    {s2c_CU:DKK}</v>
          </cell>
        </row>
        <row r="46">
          <cell r="KU46" t="str">
            <v xml:space="preserve">  DOP    {s2c_CU:DOP}</v>
          </cell>
        </row>
        <row r="47">
          <cell r="KU47" t="str">
            <v xml:space="preserve">  DZD    {s2c_CU:DZD}</v>
          </cell>
        </row>
        <row r="48">
          <cell r="KU48" t="str">
            <v xml:space="preserve">  EEK    {s2c_CU:EEK}</v>
          </cell>
        </row>
        <row r="49">
          <cell r="KU49" t="str">
            <v xml:space="preserve">  EGP    {s2c_CU:EGP}</v>
          </cell>
        </row>
        <row r="50">
          <cell r="KU50" t="str">
            <v xml:space="preserve">  ERN    {s2c_CU:ERN}</v>
          </cell>
        </row>
        <row r="51">
          <cell r="KU51" t="str">
            <v xml:space="preserve">  ETB    {s2c_CU:ETB}</v>
          </cell>
        </row>
        <row r="52">
          <cell r="KU52" t="str">
            <v xml:space="preserve">  FJD    {s2c_CU:FJD}</v>
          </cell>
        </row>
        <row r="53">
          <cell r="KU53" t="str">
            <v xml:space="preserve">  FKP    {s2c_CU:FKP}</v>
          </cell>
        </row>
        <row r="54">
          <cell r="KU54" t="str">
            <v xml:space="preserve">  GBP    {s2c_CU:GBP}</v>
          </cell>
        </row>
        <row r="55">
          <cell r="KU55" t="str">
            <v xml:space="preserve">  GEL    {s2c_CU:GEL}</v>
          </cell>
        </row>
        <row r="56">
          <cell r="KU56" t="str">
            <v xml:space="preserve">  GHS    {s2c_CU:GHS}</v>
          </cell>
        </row>
        <row r="57">
          <cell r="KU57" t="str">
            <v xml:space="preserve">  GIP    {s2c_CU:GIP}</v>
          </cell>
        </row>
        <row r="58">
          <cell r="KU58" t="str">
            <v xml:space="preserve">  GMD    {s2c_CU:GMD}</v>
          </cell>
        </row>
        <row r="59">
          <cell r="KU59" t="str">
            <v xml:space="preserve">  GNF    {s2c_CU:GNF}</v>
          </cell>
        </row>
        <row r="60">
          <cell r="KU60" t="str">
            <v xml:space="preserve">  GTQ    {s2c_CU:GTQ}</v>
          </cell>
        </row>
        <row r="61">
          <cell r="KU61" t="str">
            <v xml:space="preserve">  GYD    {s2c_CU:GYD}</v>
          </cell>
        </row>
        <row r="62">
          <cell r="KU62" t="str">
            <v xml:space="preserve">  HKD    {s2c_CU:HKD}</v>
          </cell>
        </row>
        <row r="63">
          <cell r="KU63" t="str">
            <v xml:space="preserve">  HNL    {s2c_CU:HNL}</v>
          </cell>
        </row>
        <row r="64">
          <cell r="KU64" t="str">
            <v xml:space="preserve">  HRK    {s2c_CU:HRK}</v>
          </cell>
        </row>
        <row r="65">
          <cell r="KU65" t="str">
            <v xml:space="preserve">  HTG    {s2c_CU:HTG}</v>
          </cell>
        </row>
        <row r="66">
          <cell r="KU66" t="str">
            <v xml:space="preserve">  HUF    {s2c_CU:HUF}</v>
          </cell>
        </row>
        <row r="67">
          <cell r="KU67" t="str">
            <v xml:space="preserve">  IDR    {s2c_CU:IDR}</v>
          </cell>
        </row>
        <row r="68">
          <cell r="KU68" t="str">
            <v xml:space="preserve">  ILS    {s2c_CU:ILS}</v>
          </cell>
        </row>
        <row r="69">
          <cell r="KU69" t="str">
            <v xml:space="preserve">  INR    {s2c_CU:INR}</v>
          </cell>
        </row>
        <row r="70">
          <cell r="KU70" t="str">
            <v xml:space="preserve">  IQD    {s2c_CU:IQD}</v>
          </cell>
        </row>
        <row r="71">
          <cell r="KU71" t="str">
            <v xml:space="preserve">  IRR    {s2c_CU:IRR}</v>
          </cell>
        </row>
        <row r="72">
          <cell r="KU72" t="str">
            <v xml:space="preserve">  ISK    {s2c_CU:ISK}</v>
          </cell>
        </row>
        <row r="73">
          <cell r="KU73" t="str">
            <v xml:space="preserve">  JMD    {s2c_CU:JMD}</v>
          </cell>
        </row>
        <row r="74">
          <cell r="KU74" t="str">
            <v xml:space="preserve">  JOD    {s2c_CU:JOD}</v>
          </cell>
        </row>
        <row r="75">
          <cell r="KU75" t="str">
            <v xml:space="preserve">  JPY    {s2c_CU:JPY}</v>
          </cell>
        </row>
        <row r="76">
          <cell r="KU76" t="str">
            <v xml:space="preserve">  KES    {s2c_CU:KES}</v>
          </cell>
        </row>
        <row r="77">
          <cell r="KU77" t="str">
            <v xml:space="preserve">  KGS    {s2c_CU:KGS}</v>
          </cell>
        </row>
        <row r="78">
          <cell r="KU78" t="str">
            <v xml:space="preserve">  KHR    {s2c_CU:KHR}</v>
          </cell>
        </row>
        <row r="79">
          <cell r="KU79" t="str">
            <v xml:space="preserve">  KMF    {s2c_CU:KMF}</v>
          </cell>
        </row>
        <row r="80">
          <cell r="KU80" t="str">
            <v xml:space="preserve">  KPW    {s2c_CU:KPW}</v>
          </cell>
        </row>
        <row r="81">
          <cell r="KU81" t="str">
            <v xml:space="preserve">  KRW    {s2c_CU:KRW}</v>
          </cell>
        </row>
        <row r="82">
          <cell r="KU82" t="str">
            <v xml:space="preserve">  KWD    {s2c_CU:KWD}</v>
          </cell>
        </row>
        <row r="83">
          <cell r="KU83" t="str">
            <v xml:space="preserve">  KYD    {s2c_CU:KYD}</v>
          </cell>
        </row>
        <row r="84">
          <cell r="KU84" t="str">
            <v xml:space="preserve">  KZT    {s2c_CU:KZT}</v>
          </cell>
        </row>
        <row r="85">
          <cell r="KU85" t="str">
            <v xml:space="preserve">  LAK    {s2c_CU:LAK}</v>
          </cell>
        </row>
        <row r="86">
          <cell r="KU86" t="str">
            <v xml:space="preserve">  LBP    {s2c_CU:LBP}</v>
          </cell>
        </row>
        <row r="87">
          <cell r="KU87" t="str">
            <v xml:space="preserve">  LKR    {s2c_CU:LKR}</v>
          </cell>
        </row>
        <row r="88">
          <cell r="KU88" t="str">
            <v xml:space="preserve">  LRD    {s2c_CU:LRD}</v>
          </cell>
        </row>
        <row r="89">
          <cell r="KU89" t="str">
            <v xml:space="preserve">  LSL    {s2c_CU:LSL}</v>
          </cell>
        </row>
        <row r="90">
          <cell r="KU90" t="str">
            <v xml:space="preserve">  LTL    {s2c_CU:LTL}</v>
          </cell>
        </row>
        <row r="91">
          <cell r="KU91" t="str">
            <v xml:space="preserve">  LVL    {s2c_CU:LVL}</v>
          </cell>
        </row>
        <row r="92">
          <cell r="KU92" t="str">
            <v xml:space="preserve">  LYD    {s2c_CU:LYD}</v>
          </cell>
        </row>
        <row r="93">
          <cell r="KU93" t="str">
            <v xml:space="preserve">  MAD    {s2c_CU:MAD}</v>
          </cell>
        </row>
        <row r="94">
          <cell r="KU94" t="str">
            <v xml:space="preserve">  MDL    {s2c_CU:MDL}</v>
          </cell>
        </row>
        <row r="95">
          <cell r="KU95" t="str">
            <v xml:space="preserve">  MGA    {s2c_CU:MGA}</v>
          </cell>
        </row>
        <row r="96">
          <cell r="KU96" t="str">
            <v xml:space="preserve">  MKD    {s2c_CU:MKD}</v>
          </cell>
        </row>
        <row r="97">
          <cell r="KU97" t="str">
            <v xml:space="preserve">  MMK    {s2c_CU:MMK}</v>
          </cell>
        </row>
        <row r="98">
          <cell r="KU98" t="str">
            <v xml:space="preserve">  MNT    {s2c_CU:MNT}</v>
          </cell>
        </row>
        <row r="99">
          <cell r="KU99" t="str">
            <v xml:space="preserve">  MOP    {s2c_CU:MOP}</v>
          </cell>
        </row>
        <row r="100">
          <cell r="KU100" t="str">
            <v xml:space="preserve">  MRO    {s2c_CU:MRO}</v>
          </cell>
        </row>
        <row r="101">
          <cell r="KU101" t="str">
            <v xml:space="preserve">  MUR    {s2c_CU:MUR}</v>
          </cell>
        </row>
        <row r="102">
          <cell r="KU102" t="str">
            <v xml:space="preserve">  MVR    {s2c_CU:MVR}</v>
          </cell>
        </row>
        <row r="103">
          <cell r="KU103" t="str">
            <v xml:space="preserve">  MWK    {s2c_CU:MWK}</v>
          </cell>
        </row>
        <row r="104">
          <cell r="KU104" t="str">
            <v xml:space="preserve">  MXN    {s2c_CU:MXN}</v>
          </cell>
        </row>
        <row r="105">
          <cell r="KU105" t="str">
            <v xml:space="preserve">  MXV    {s2c_CU:MXV}</v>
          </cell>
        </row>
        <row r="106">
          <cell r="KU106" t="str">
            <v xml:space="preserve">  MYR    {s2c_CU:MYR}</v>
          </cell>
        </row>
        <row r="107">
          <cell r="KU107" t="str">
            <v xml:space="preserve">  MZN    {s2c_CU:MZN}</v>
          </cell>
        </row>
        <row r="108">
          <cell r="KU108" t="str">
            <v xml:space="preserve">  NAD    {s2c_CU:NAD}</v>
          </cell>
        </row>
        <row r="109">
          <cell r="KU109" t="str">
            <v xml:space="preserve">  NGN    {s2c_CU:NGN}</v>
          </cell>
        </row>
        <row r="110">
          <cell r="KU110" t="str">
            <v xml:space="preserve">  NIO    {s2c_CU:NIO}</v>
          </cell>
        </row>
        <row r="111">
          <cell r="KU111" t="str">
            <v xml:space="preserve">  NOK    {s2c_CU:NOK}</v>
          </cell>
        </row>
        <row r="112">
          <cell r="KU112" t="str">
            <v xml:space="preserve">  NPR    {s2c_CU:NPR}</v>
          </cell>
        </row>
        <row r="113">
          <cell r="KU113" t="str">
            <v xml:space="preserve">  NZD    {s2c_CU:NZD}</v>
          </cell>
        </row>
        <row r="114">
          <cell r="KU114" t="str">
            <v xml:space="preserve">  OMR    {s2c_CU:OMR}</v>
          </cell>
        </row>
        <row r="115">
          <cell r="KU115" t="str">
            <v xml:space="preserve">  PAB    {s2c_CU:PAB}</v>
          </cell>
        </row>
        <row r="116">
          <cell r="KU116" t="str">
            <v xml:space="preserve">  PEN    {s2c_CU:PEN}</v>
          </cell>
        </row>
        <row r="117">
          <cell r="KU117" t="str">
            <v xml:space="preserve">  PGK    {s2c_CU:PGK}</v>
          </cell>
        </row>
        <row r="118">
          <cell r="KU118" t="str">
            <v xml:space="preserve">  PHP    {s2c_CU:PHP}</v>
          </cell>
        </row>
        <row r="119">
          <cell r="KU119" t="str">
            <v xml:space="preserve">  PKR    {s2c_CU:PKR}</v>
          </cell>
        </row>
        <row r="120">
          <cell r="KU120" t="str">
            <v xml:space="preserve">  PLN    {s2c_CU:PLN}</v>
          </cell>
        </row>
        <row r="121">
          <cell r="KU121" t="str">
            <v xml:space="preserve">  PYG    {s2c_CU:PYG}</v>
          </cell>
        </row>
        <row r="122">
          <cell r="KU122" t="str">
            <v xml:space="preserve">  QAR    {s2c_CU:QAR}</v>
          </cell>
        </row>
        <row r="123">
          <cell r="KU123" t="str">
            <v xml:space="preserve">  RON    {s2c_CU:RON}</v>
          </cell>
        </row>
        <row r="124">
          <cell r="KU124" t="str">
            <v xml:space="preserve">  RSD    {s2c_CU:RSD}</v>
          </cell>
        </row>
        <row r="125">
          <cell r="KU125" t="str">
            <v xml:space="preserve">  RUB    {s2c_CU:RUB}</v>
          </cell>
        </row>
        <row r="126">
          <cell r="KU126" t="str">
            <v xml:space="preserve">  RWF    {s2c_CU:RWF}</v>
          </cell>
        </row>
        <row r="127">
          <cell r="KU127" t="str">
            <v xml:space="preserve">  SAR    {s2c_CU:SAR}</v>
          </cell>
        </row>
        <row r="128">
          <cell r="KU128" t="str">
            <v xml:space="preserve">  SBD    {s2c_CU:SBD}</v>
          </cell>
        </row>
        <row r="129">
          <cell r="KU129" t="str">
            <v xml:space="preserve">  SCR    {s2c_CU:SCR}</v>
          </cell>
        </row>
        <row r="130">
          <cell r="KU130" t="str">
            <v xml:space="preserve">  SDG    {s2c_CU:SDG}</v>
          </cell>
        </row>
        <row r="131">
          <cell r="KU131" t="str">
            <v xml:space="preserve">  SEK    {s2c_CU:SEK}</v>
          </cell>
        </row>
        <row r="132">
          <cell r="KU132" t="str">
            <v xml:space="preserve">  SGD    {s2c_CU:SGD}</v>
          </cell>
        </row>
        <row r="133">
          <cell r="KU133" t="str">
            <v xml:space="preserve">  SHP    {s2c_CU:SHP}</v>
          </cell>
        </row>
        <row r="134">
          <cell r="KU134" t="str">
            <v xml:space="preserve">  SLL    {s2c_CU:SLL}</v>
          </cell>
        </row>
        <row r="135">
          <cell r="KU135" t="str">
            <v xml:space="preserve">  SOS    {s2c_CU:SOS}</v>
          </cell>
        </row>
        <row r="136">
          <cell r="KU136" t="str">
            <v xml:space="preserve">  SRD    {s2c_CU:SRD}</v>
          </cell>
        </row>
        <row r="137">
          <cell r="KU137" t="str">
            <v xml:space="preserve">  STD    {s2c_CU:STD}</v>
          </cell>
        </row>
        <row r="138">
          <cell r="KU138" t="str">
            <v xml:space="preserve">  SYP    {s2c_CU:SYP}</v>
          </cell>
        </row>
        <row r="139">
          <cell r="KU139" t="str">
            <v xml:space="preserve">  SZL    {s2c_CU:SZL}</v>
          </cell>
        </row>
        <row r="140">
          <cell r="KU140" t="str">
            <v xml:space="preserve">  THB    {s2c_CU:THB}</v>
          </cell>
        </row>
        <row r="141">
          <cell r="KU141" t="str">
            <v xml:space="preserve">  TJS    {s2c_CU:TJS}</v>
          </cell>
        </row>
        <row r="142">
          <cell r="KU142" t="str">
            <v xml:space="preserve">  TMT    {s2c_CU:TMT}</v>
          </cell>
        </row>
        <row r="143">
          <cell r="KU143" t="str">
            <v xml:space="preserve">  TND    {s2c_CU:TND}</v>
          </cell>
        </row>
        <row r="144">
          <cell r="KU144" t="str">
            <v xml:space="preserve">  TOP    {s2c_CU:TOP}</v>
          </cell>
        </row>
        <row r="145">
          <cell r="KU145" t="str">
            <v xml:space="preserve">  TRY    {s2c_CU:TRY}</v>
          </cell>
        </row>
        <row r="146">
          <cell r="KU146" t="str">
            <v xml:space="preserve">  TTD    {s2c_CU:TTD}</v>
          </cell>
        </row>
        <row r="147">
          <cell r="KU147" t="str">
            <v xml:space="preserve">  TWD    {s2c_CU:TWD}</v>
          </cell>
        </row>
        <row r="148">
          <cell r="KU148" t="str">
            <v xml:space="preserve">  TZS    {s2c_CU:TZS}</v>
          </cell>
        </row>
        <row r="149">
          <cell r="KU149" t="str">
            <v xml:space="preserve">  UAH    {s2c_CU:UAH}</v>
          </cell>
        </row>
        <row r="150">
          <cell r="KU150" t="str">
            <v xml:space="preserve">  UGX    {s2c_CU:UGX}</v>
          </cell>
        </row>
        <row r="151">
          <cell r="KU151" t="str">
            <v xml:space="preserve">  USD    {s2c_CU:USD}</v>
          </cell>
        </row>
        <row r="152">
          <cell r="KU152" t="str">
            <v xml:space="preserve">  USN    {s2c_CU:USN}</v>
          </cell>
        </row>
        <row r="153">
          <cell r="KU153" t="str">
            <v xml:space="preserve">  USS    {s2c_CU:USS}</v>
          </cell>
        </row>
        <row r="154">
          <cell r="KU154" t="str">
            <v xml:space="preserve">  UYU    {s2c_CU:UYU}</v>
          </cell>
        </row>
        <row r="155">
          <cell r="KU155" t="str">
            <v xml:space="preserve">  UZS    {s2c_CU:UZS}</v>
          </cell>
        </row>
        <row r="156">
          <cell r="KU156" t="str">
            <v xml:space="preserve">  VEF    {s2c_CU:VEF}</v>
          </cell>
        </row>
        <row r="157">
          <cell r="KU157" t="str">
            <v xml:space="preserve">  VND    {s2c_CU:VND}</v>
          </cell>
        </row>
        <row r="158">
          <cell r="KU158" t="str">
            <v xml:space="preserve">  VUV    {s2c_CU:VUV}</v>
          </cell>
        </row>
        <row r="159">
          <cell r="KU159" t="str">
            <v xml:space="preserve">  WST    {s2c_CU:WST}</v>
          </cell>
        </row>
        <row r="160">
          <cell r="KU160" t="str">
            <v xml:space="preserve">  XAF    {s2c_CU:XAF}</v>
          </cell>
        </row>
        <row r="161">
          <cell r="KU161" t="str">
            <v xml:space="preserve">  XAG    {s2c_CU:XAG}</v>
          </cell>
        </row>
        <row r="162">
          <cell r="KU162" t="str">
            <v xml:space="preserve">  XAU    {s2c_CU:XAU}</v>
          </cell>
        </row>
        <row r="163">
          <cell r="KU163" t="str">
            <v xml:space="preserve">  XBA    {s2c_CU:XBA}</v>
          </cell>
        </row>
        <row r="164">
          <cell r="KU164" t="str">
            <v xml:space="preserve">  XBB    {s2c_CU:XBB}</v>
          </cell>
        </row>
        <row r="165">
          <cell r="KU165" t="str">
            <v xml:space="preserve">  XBC    {s2c_CU:XBC}</v>
          </cell>
        </row>
        <row r="166">
          <cell r="KU166" t="str">
            <v xml:space="preserve">  XBD    {s2c_CU:XBD}</v>
          </cell>
        </row>
        <row r="167">
          <cell r="KU167" t="str">
            <v xml:space="preserve">  XCD    {s2c_CU:XCD}</v>
          </cell>
        </row>
        <row r="168">
          <cell r="KU168" t="str">
            <v xml:space="preserve">  XDR    {s2c_CU:XDR}</v>
          </cell>
        </row>
        <row r="169">
          <cell r="KU169" t="str">
            <v xml:space="preserve">  XFU    {s2c_CU:XFU}</v>
          </cell>
        </row>
        <row r="170">
          <cell r="KU170" t="str">
            <v xml:space="preserve">  XOF    {s2c_CU:XOF}</v>
          </cell>
        </row>
        <row r="171">
          <cell r="KU171" t="str">
            <v xml:space="preserve">  XPD    {s2c_CU:XPD}</v>
          </cell>
        </row>
        <row r="172">
          <cell r="KU172" t="str">
            <v xml:space="preserve">  XPF    {s2c_CU:XPF}</v>
          </cell>
        </row>
        <row r="173">
          <cell r="KU173" t="str">
            <v xml:space="preserve">  XPT    {s2c_CU:XPT}</v>
          </cell>
        </row>
        <row r="174">
          <cell r="KU174" t="str">
            <v xml:space="preserve">  XTS    {s2c_CU:XTS}</v>
          </cell>
        </row>
        <row r="175">
          <cell r="KU175" t="str">
            <v xml:space="preserve">  XXX    {s2c_CU:XXX}</v>
          </cell>
        </row>
        <row r="176">
          <cell r="KU176" t="str">
            <v xml:space="preserve">  YER    {s2c_CU:YER}</v>
          </cell>
        </row>
        <row r="177">
          <cell r="KU177" t="str">
            <v xml:space="preserve">  ZAR    {s2c_CU:ZAR}</v>
          </cell>
        </row>
        <row r="178">
          <cell r="KU178" t="str">
            <v xml:space="preserve">  ZMK    {s2c_CU:ZMK}</v>
          </cell>
        </row>
        <row r="179">
          <cell r="KU179" t="str">
            <v xml:space="preserve">  ZWL    {s2c_CU:ZWL}</v>
          </cell>
        </row>
      </sheetData>
      <sheetData sheetId="2" refreshError="1"/>
      <sheetData sheetId="3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EOF"/>
      <sheetName val="SCR"/>
      <sheetName val="RM"/>
      <sheetName val="MCR"/>
      <sheetName val="Group SCR"/>
      <sheetName val="Aggregation"/>
      <sheetName val="Yields"/>
      <sheetName val="Non Life &amp; Health Prem&amp;Res"/>
      <sheetName val="Non Life &amp; Health Lapse"/>
      <sheetName val="Health CAT"/>
      <sheetName val="NL Nat CAT"/>
      <sheetName val="NL Man-made CAT"/>
      <sheetName val="NL Other CAT"/>
      <sheetName val="NP Property"/>
      <sheetName val="Shock Assets"/>
      <sheetName val="Shock BE"/>
      <sheetName val="Interest Rate"/>
      <sheetName val="Equity"/>
      <sheetName val="Property"/>
      <sheetName val="Currency"/>
      <sheetName val="Spread"/>
      <sheetName val="Concentration"/>
      <sheetName val="CCP"/>
      <sheetName val="Counterparty Default"/>
      <sheetName val="Risk Mitigation CD"/>
      <sheetName val="Intangibles"/>
      <sheetName val="Operational"/>
      <sheetName val="SCR Allocation"/>
      <sheetName val="Comments"/>
      <sheetName val="Input"/>
      <sheetName val="RiskCont_Calc"/>
      <sheetName val="Calc_NL_CAT_Nat"/>
      <sheetName val="List Sheets"/>
      <sheetName val="Change Log"/>
    </sheetNames>
    <sheetDataSet>
      <sheetData sheetId="0">
        <row r="4">
          <cell r="C4">
            <v>1000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" dT="2023-04-17T13:06:32.89" personId="{00000000-0000-0000-0000-000000000000}" id="{1D683548-8F97-4D7F-88F6-F69511DC0FE4}">
    <text>Sinistri / premi</text>
  </threadedComment>
  <threadedComment ref="A6" dT="2023-04-17T13:06:44.69" personId="{00000000-0000-0000-0000-000000000000}" id="{6F5929A2-1DE7-446D-8763-140CCE5C0D47}">
    <text>Spese / premi</text>
  </threadedComment>
  <threadedComment ref="A7" dT="2023-04-17T13:06:13.00" personId="{00000000-0000-0000-0000-000000000000}" id="{F16C76CF-586E-43A7-B391-B680B819262B}">
    <text>(sinistri + spese)/premi</text>
  </threadedComment>
  <threadedComment ref="G15" dT="2020-12-10T14:39:50.53" personId="{00000000-0000-0000-0000-000000000000}" id="{D95BB571-A133-44F5-8728-DBC60E0B1507}">
    <text>SIGMA*0,8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/>
  <dimension ref="B1:S72"/>
  <sheetViews>
    <sheetView topLeftCell="A18" zoomScale="80" zoomScaleNormal="80" workbookViewId="0">
      <selection activeCell="E29" sqref="E29"/>
    </sheetView>
  </sheetViews>
  <sheetFormatPr defaultColWidth="9.21875" defaultRowHeight="13.8" x14ac:dyDescent="0.3"/>
  <cols>
    <col min="1" max="1" width="5.77734375" style="31" customWidth="1"/>
    <col min="2" max="2" width="17" style="31" customWidth="1"/>
    <col min="3" max="3" width="19.44140625" style="31" customWidth="1"/>
    <col min="4" max="4" width="18.77734375" style="31" bestFit="1" customWidth="1"/>
    <col min="5" max="5" width="22.21875" style="31" bestFit="1" customWidth="1"/>
    <col min="6" max="7" width="14" style="31" customWidth="1"/>
    <col min="8" max="8" width="19.44140625" style="31" customWidth="1"/>
    <col min="9" max="9" width="16.77734375" style="31" bestFit="1" customWidth="1"/>
    <col min="10" max="10" width="9.44140625" style="31" bestFit="1" customWidth="1"/>
    <col min="11" max="11" width="12.5546875" style="31" bestFit="1" customWidth="1"/>
    <col min="12" max="13" width="10.21875" style="31" customWidth="1"/>
    <col min="14" max="16384" width="9.21875" style="31"/>
  </cols>
  <sheetData>
    <row r="1" spans="2:13" ht="23.25" customHeight="1" x14ac:dyDescent="0.3">
      <c r="B1" s="29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2:13" ht="17.399999999999999" x14ac:dyDescent="0.3">
      <c r="B2" s="236" t="s">
        <v>31</v>
      </c>
      <c r="C2" s="237"/>
      <c r="D2" s="237"/>
      <c r="E2" s="237"/>
      <c r="F2" s="237"/>
      <c r="G2" s="237"/>
      <c r="H2" s="237"/>
      <c r="I2" s="237"/>
      <c r="J2" s="237"/>
      <c r="K2" s="237"/>
      <c r="L2" s="237"/>
    </row>
    <row r="3" spans="2:13" ht="22.5" customHeight="1" x14ac:dyDescent="0.3">
      <c r="B3" s="238" t="s">
        <v>71</v>
      </c>
      <c r="C3" s="237"/>
      <c r="D3" s="237"/>
      <c r="E3" s="237"/>
      <c r="F3" s="237"/>
      <c r="G3" s="237"/>
      <c r="H3" s="237"/>
      <c r="I3" s="237"/>
      <c r="J3" s="237"/>
      <c r="K3" s="237"/>
      <c r="L3" s="237"/>
    </row>
    <row r="4" spans="2:13" ht="22.5" customHeight="1" x14ac:dyDescent="0.3">
      <c r="B4" s="237"/>
      <c r="C4" s="237"/>
      <c r="D4" s="237"/>
      <c r="E4" s="237"/>
      <c r="F4" s="237"/>
      <c r="G4" s="237"/>
      <c r="H4" s="237"/>
      <c r="I4" s="237"/>
      <c r="J4" s="237"/>
      <c r="K4" s="237"/>
      <c r="L4" s="237"/>
    </row>
    <row r="5" spans="2:13" ht="14.4" thickBot="1" x14ac:dyDescent="0.35"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</row>
    <row r="6" spans="2:13" x14ac:dyDescent="0.3">
      <c r="B6" s="32" t="s">
        <v>32</v>
      </c>
      <c r="C6" s="33"/>
      <c r="D6" s="34"/>
      <c r="E6" s="34"/>
      <c r="F6" s="34"/>
      <c r="G6" s="34"/>
      <c r="H6" s="34"/>
      <c r="I6" s="34"/>
      <c r="J6" s="34"/>
      <c r="K6" s="34"/>
      <c r="L6" s="35"/>
    </row>
    <row r="7" spans="2:13" x14ac:dyDescent="0.3">
      <c r="B7" s="36"/>
      <c r="C7" s="30"/>
      <c r="D7" s="30"/>
      <c r="E7" s="30"/>
      <c r="F7" s="30"/>
      <c r="G7" s="30"/>
      <c r="H7" s="30"/>
      <c r="I7" s="30"/>
      <c r="J7" s="30"/>
      <c r="K7" s="30"/>
      <c r="L7" s="37"/>
    </row>
    <row r="8" spans="2:13" ht="64.5" customHeight="1" x14ac:dyDescent="0.3">
      <c r="B8" s="36"/>
      <c r="C8" s="38" t="s">
        <v>33</v>
      </c>
      <c r="D8" s="39" t="s">
        <v>72</v>
      </c>
      <c r="E8" s="38" t="s">
        <v>35</v>
      </c>
      <c r="F8" s="38" t="s">
        <v>36</v>
      </c>
      <c r="G8" s="38" t="s">
        <v>37</v>
      </c>
      <c r="H8" s="39" t="s">
        <v>38</v>
      </c>
      <c r="I8" s="38" t="s">
        <v>39</v>
      </c>
      <c r="J8" s="30"/>
      <c r="K8" s="30"/>
      <c r="L8" s="37"/>
    </row>
    <row r="9" spans="2:13" x14ac:dyDescent="0.3">
      <c r="B9" s="36"/>
      <c r="C9" s="40">
        <v>0</v>
      </c>
      <c r="D9" s="141">
        <v>97000</v>
      </c>
      <c r="E9" s="42">
        <f>D9/$D$15</f>
        <v>0.90431085918854415</v>
      </c>
      <c r="F9" s="43">
        <f>E9*C9</f>
        <v>0</v>
      </c>
      <c r="G9" s="44">
        <f>(C9-$D$17)^2*E9</f>
        <v>9.6143521090399919E-3</v>
      </c>
      <c r="H9" s="137">
        <f>POISSON(C9,$D$17,0)</f>
        <v>0.90202766962372505</v>
      </c>
      <c r="I9" s="144">
        <f>H9*$D$15</f>
        <v>96755.095954519245</v>
      </c>
      <c r="J9" s="54"/>
      <c r="K9" s="30"/>
      <c r="L9" s="37"/>
    </row>
    <row r="10" spans="2:13" x14ac:dyDescent="0.3">
      <c r="B10" s="36"/>
      <c r="C10" s="40">
        <v>1</v>
      </c>
      <c r="D10" s="141">
        <v>9520</v>
      </c>
      <c r="E10" s="42">
        <f t="shared" ref="E10:E14" si="0">D10/$D$15</f>
        <v>8.875298329355609E-2</v>
      </c>
      <c r="F10" s="43">
        <f>E10*C10</f>
        <v>8.875298329355609E-2</v>
      </c>
      <c r="G10" s="44">
        <f t="shared" ref="G10:G13" si="1">(C10-$D$17)^2*E10</f>
        <v>7.1393922396426224E-2</v>
      </c>
      <c r="H10" s="137">
        <f t="shared" ref="H10:H13" si="2">POISSON(C10,$D$17,0)</f>
        <v>9.3008148363275658E-2</v>
      </c>
      <c r="I10" s="144">
        <f t="shared" ref="I10:I14" si="3">H10*$D$15</f>
        <v>9976.4260260383999</v>
      </c>
      <c r="J10" s="54"/>
      <c r="K10" s="30"/>
      <c r="L10" s="37"/>
    </row>
    <row r="11" spans="2:13" x14ac:dyDescent="0.3">
      <c r="B11" s="36"/>
      <c r="C11" s="40">
        <v>2</v>
      </c>
      <c r="D11" s="141">
        <v>698</v>
      </c>
      <c r="E11" s="42">
        <f t="shared" si="0"/>
        <v>6.5073090692124103E-3</v>
      </c>
      <c r="F11" s="43">
        <f t="shared" ref="F11:F12" si="4">E11*C11</f>
        <v>1.3014618138424821E-2</v>
      </c>
      <c r="G11" s="44">
        <f t="shared" si="1"/>
        <v>2.3414543238436059E-2</v>
      </c>
      <c r="H11" s="137">
        <f t="shared" si="2"/>
        <v>4.7950389734572113E-3</v>
      </c>
      <c r="I11" s="145">
        <f t="shared" si="3"/>
        <v>514.33506044891431</v>
      </c>
      <c r="J11" s="54"/>
      <c r="K11" s="30"/>
      <c r="L11" s="37"/>
    </row>
    <row r="12" spans="2:13" x14ac:dyDescent="0.3">
      <c r="B12" s="36"/>
      <c r="C12" s="40">
        <v>3</v>
      </c>
      <c r="D12" s="141">
        <v>40</v>
      </c>
      <c r="E12" s="42">
        <f t="shared" si="0"/>
        <v>3.7291169451073985E-4</v>
      </c>
      <c r="F12" s="43">
        <f t="shared" si="4"/>
        <v>1.1187350835322196E-3</v>
      </c>
      <c r="G12" s="44">
        <f t="shared" si="1"/>
        <v>3.1294641960518742E-3</v>
      </c>
      <c r="H12" s="137">
        <f t="shared" si="2"/>
        <v>1.6480562303114053E-4</v>
      </c>
      <c r="I12" s="145">
        <f t="shared" si="3"/>
        <v>17.677710348812258</v>
      </c>
      <c r="J12" s="54"/>
      <c r="K12" s="30"/>
      <c r="L12" s="37"/>
      <c r="M12" s="31" t="s">
        <v>73</v>
      </c>
    </row>
    <row r="13" spans="2:13" x14ac:dyDescent="0.3">
      <c r="B13" s="36"/>
      <c r="C13" s="40">
        <v>4</v>
      </c>
      <c r="D13" s="141">
        <v>6</v>
      </c>
      <c r="E13" s="42">
        <f t="shared" si="0"/>
        <v>5.5936754176610981E-5</v>
      </c>
      <c r="F13" s="43">
        <f>E13*C13</f>
        <v>2.2374701670644392E-4</v>
      </c>
      <c r="G13" s="44">
        <f t="shared" si="1"/>
        <v>8.4944162185271487E-4</v>
      </c>
      <c r="H13" s="137">
        <f t="shared" si="2"/>
        <v>4.2482803893300967E-6</v>
      </c>
      <c r="I13" s="145">
        <f t="shared" si="3"/>
        <v>0.45568754768110348</v>
      </c>
      <c r="J13" s="54"/>
      <c r="K13" s="30"/>
      <c r="L13" s="37"/>
    </row>
    <row r="14" spans="2:13" x14ac:dyDescent="0.3">
      <c r="B14" s="36"/>
      <c r="C14" s="40" t="s">
        <v>40</v>
      </c>
      <c r="D14" s="142">
        <v>0</v>
      </c>
      <c r="E14" s="42">
        <f t="shared" si="0"/>
        <v>0</v>
      </c>
      <c r="F14" s="43"/>
      <c r="G14" s="44"/>
      <c r="H14" s="143">
        <f>1-SUM(H9:H13)</f>
        <v>8.9136121594890483E-8</v>
      </c>
      <c r="I14" s="145">
        <f t="shared" si="3"/>
        <v>9.5610969467543327E-3</v>
      </c>
      <c r="J14" s="30"/>
      <c r="K14" s="30"/>
      <c r="L14" s="37"/>
    </row>
    <row r="15" spans="2:13" x14ac:dyDescent="0.3">
      <c r="B15" s="36"/>
      <c r="C15" s="40" t="s">
        <v>41</v>
      </c>
      <c r="D15" s="46">
        <f>+SUM(D9:D14)</f>
        <v>107264</v>
      </c>
      <c r="E15" s="138">
        <f>SUM(E9:E14)</f>
        <v>0.99999999999999989</v>
      </c>
      <c r="F15" s="48"/>
      <c r="G15" s="48"/>
      <c r="H15" s="46"/>
      <c r="I15" s="46">
        <f>SUM(I9:I14)</f>
        <v>107264</v>
      </c>
      <c r="J15" s="30"/>
      <c r="K15" s="30"/>
      <c r="L15" s="37"/>
    </row>
    <row r="16" spans="2:13" x14ac:dyDescent="0.3">
      <c r="B16" s="36"/>
      <c r="C16" s="49"/>
      <c r="D16" s="50"/>
      <c r="E16" s="50"/>
      <c r="F16" s="50"/>
      <c r="G16" s="50"/>
      <c r="H16" s="50"/>
      <c r="I16" s="30"/>
      <c r="J16" s="30"/>
      <c r="K16" s="30"/>
      <c r="L16" s="37"/>
    </row>
    <row r="17" spans="2:19" ht="15" x14ac:dyDescent="0.3">
      <c r="B17" s="36"/>
      <c r="C17" s="51" t="s">
        <v>36</v>
      </c>
      <c r="D17" s="140">
        <f>SUM(F9:F13)</f>
        <v>0.10311008353221957</v>
      </c>
      <c r="E17" s="30"/>
      <c r="F17" s="30"/>
      <c r="G17" s="30"/>
      <c r="H17" s="30"/>
      <c r="I17" s="30"/>
      <c r="J17" s="30"/>
      <c r="K17" s="30"/>
      <c r="L17" s="37"/>
    </row>
    <row r="18" spans="2:19" ht="15" x14ac:dyDescent="0.3">
      <c r="B18" s="36"/>
      <c r="C18" s="51" t="s">
        <v>37</v>
      </c>
      <c r="D18" s="139">
        <f>SUM(G9:G13)</f>
        <v>0.10840172356180686</v>
      </c>
      <c r="E18" s="30"/>
      <c r="F18" s="30"/>
      <c r="G18" s="30"/>
      <c r="H18" s="30"/>
      <c r="I18" s="30"/>
      <c r="J18" s="30"/>
      <c r="K18" s="30"/>
      <c r="L18" s="37"/>
    </row>
    <row r="19" spans="2:19" x14ac:dyDescent="0.3">
      <c r="B19" s="36"/>
      <c r="C19" s="30"/>
      <c r="D19" s="30"/>
      <c r="E19" s="30"/>
      <c r="F19" s="30"/>
      <c r="G19" s="30"/>
      <c r="H19" s="30"/>
      <c r="I19" s="30"/>
      <c r="J19" s="30"/>
      <c r="K19" s="30"/>
      <c r="L19" s="37"/>
    </row>
    <row r="20" spans="2:19" x14ac:dyDescent="0.3">
      <c r="B20" s="36"/>
      <c r="C20" s="30"/>
      <c r="D20" s="30"/>
      <c r="E20" s="30"/>
      <c r="F20" s="30"/>
      <c r="G20" s="30"/>
      <c r="H20" s="30"/>
      <c r="I20" s="30"/>
      <c r="J20" s="30"/>
      <c r="K20" s="30"/>
      <c r="L20" s="37"/>
    </row>
    <row r="21" spans="2:19" ht="25.5" customHeight="1" x14ac:dyDescent="0.3">
      <c r="B21" s="36"/>
      <c r="C21" s="38" t="s">
        <v>33</v>
      </c>
      <c r="D21" s="38" t="s">
        <v>34</v>
      </c>
      <c r="E21" s="38" t="s">
        <v>39</v>
      </c>
      <c r="F21" s="38" t="s">
        <v>42</v>
      </c>
      <c r="G21" s="30"/>
      <c r="H21" s="30"/>
      <c r="I21" s="30"/>
      <c r="J21" s="30"/>
      <c r="K21" s="30"/>
      <c r="L21" s="37"/>
    </row>
    <row r="22" spans="2:19" x14ac:dyDescent="0.3">
      <c r="B22" s="36"/>
      <c r="C22" s="40">
        <f t="shared" ref="C22:C24" si="5">+C9</f>
        <v>0</v>
      </c>
      <c r="D22" s="52">
        <f>D9</f>
        <v>97000</v>
      </c>
      <c r="E22" s="45">
        <f>I9</f>
        <v>96755.095954519245</v>
      </c>
      <c r="F22" s="53">
        <f>(D22-E22)^2/E22</f>
        <v>0.61989490993872609</v>
      </c>
      <c r="G22" s="30"/>
      <c r="H22" s="30"/>
      <c r="I22" s="30"/>
      <c r="J22" s="30"/>
      <c r="K22" s="30"/>
      <c r="L22" s="37"/>
    </row>
    <row r="23" spans="2:19" x14ac:dyDescent="0.3">
      <c r="B23" s="36"/>
      <c r="C23" s="40">
        <f t="shared" si="5"/>
        <v>1</v>
      </c>
      <c r="D23" s="52">
        <f>D10</f>
        <v>9520</v>
      </c>
      <c r="E23" s="45">
        <f>I10</f>
        <v>9976.4260260383999</v>
      </c>
      <c r="F23" s="53">
        <f t="shared" ref="F23:F25" si="6">(D23-E23)^2/E23</f>
        <v>20.881698185450386</v>
      </c>
      <c r="G23" s="30"/>
      <c r="H23" s="30"/>
      <c r="I23" s="30"/>
      <c r="J23" s="30"/>
      <c r="K23" s="30"/>
      <c r="L23" s="37"/>
    </row>
    <row r="24" spans="2:19" x14ac:dyDescent="0.3">
      <c r="B24" s="36"/>
      <c r="C24" s="40">
        <f t="shared" si="5"/>
        <v>2</v>
      </c>
      <c r="D24" s="52">
        <f>D11</f>
        <v>698</v>
      </c>
      <c r="E24" s="45">
        <f>I11</f>
        <v>514.33506044891431</v>
      </c>
      <c r="F24" s="53">
        <f t="shared" si="6"/>
        <v>65.585282074416227</v>
      </c>
      <c r="G24" s="30"/>
      <c r="H24" s="30"/>
      <c r="I24" s="30"/>
      <c r="J24" s="30"/>
      <c r="K24" s="30"/>
      <c r="L24" s="37"/>
    </row>
    <row r="25" spans="2:19" x14ac:dyDescent="0.3">
      <c r="B25" s="36"/>
      <c r="C25" s="136" t="s">
        <v>43</v>
      </c>
      <c r="D25" s="52">
        <f>D12+D13</f>
        <v>46</v>
      </c>
      <c r="E25" s="45">
        <f>I12+I13+I14</f>
        <v>18.142958993440118</v>
      </c>
      <c r="F25" s="53">
        <f t="shared" si="6"/>
        <v>42.772225518546321</v>
      </c>
      <c r="G25" s="54"/>
      <c r="H25" s="55"/>
      <c r="I25" s="30"/>
      <c r="J25" s="30"/>
      <c r="K25" s="30"/>
      <c r="L25" s="37"/>
    </row>
    <row r="26" spans="2:19" x14ac:dyDescent="0.3">
      <c r="B26" s="36"/>
      <c r="C26" s="40" t="s">
        <v>41</v>
      </c>
      <c r="D26" s="56"/>
      <c r="E26" s="56"/>
      <c r="F26" s="56"/>
      <c r="G26" s="30"/>
      <c r="H26" s="30"/>
      <c r="I26" s="30"/>
      <c r="J26" s="30"/>
      <c r="K26" s="30"/>
      <c r="L26" s="37"/>
    </row>
    <row r="27" spans="2:19" x14ac:dyDescent="0.3">
      <c r="B27" s="36"/>
      <c r="C27" s="30"/>
      <c r="D27" s="30"/>
      <c r="E27" s="30"/>
      <c r="F27" s="30"/>
      <c r="G27" s="30"/>
      <c r="H27" s="30"/>
      <c r="I27" s="30"/>
      <c r="J27" s="30"/>
      <c r="K27" s="30"/>
      <c r="L27" s="37"/>
    </row>
    <row r="28" spans="2:19" ht="23.25" customHeight="1" x14ac:dyDescent="0.3">
      <c r="B28" s="36"/>
      <c r="C28" s="30" t="s">
        <v>74</v>
      </c>
      <c r="D28" s="30">
        <f>4-1-1</f>
        <v>2</v>
      </c>
      <c r="E28" s="49"/>
      <c r="F28" s="30"/>
      <c r="G28" s="30"/>
      <c r="H28" s="239" t="s">
        <v>44</v>
      </c>
      <c r="I28" s="240"/>
      <c r="J28" s="240"/>
      <c r="K28" s="240"/>
      <c r="L28" s="241"/>
    </row>
    <row r="29" spans="2:19" x14ac:dyDescent="0.3">
      <c r="B29" s="36"/>
      <c r="C29" s="235" t="s">
        <v>45</v>
      </c>
      <c r="D29" s="235"/>
      <c r="E29" s="57">
        <f>SUM(F22:F25)</f>
        <v>129.85910068835165</v>
      </c>
      <c r="F29" s="30"/>
      <c r="G29" s="30"/>
      <c r="H29" s="240"/>
      <c r="I29" s="240"/>
      <c r="J29" s="240"/>
      <c r="K29" s="240"/>
      <c r="L29" s="241"/>
      <c r="Q29" s="58">
        <f>+IF(E29&lt;E30,1,0)</f>
        <v>0</v>
      </c>
      <c r="R29" s="31">
        <v>0</v>
      </c>
      <c r="S29" s="31" t="s">
        <v>46</v>
      </c>
    </row>
    <row r="30" spans="2:19" x14ac:dyDescent="0.3">
      <c r="B30" s="36"/>
      <c r="C30" s="235" t="s">
        <v>47</v>
      </c>
      <c r="D30" s="235"/>
      <c r="E30" s="57">
        <f>CHIINV(0.05,D28)</f>
        <v>5.9914645471079817</v>
      </c>
      <c r="F30" s="30"/>
      <c r="G30" s="30"/>
      <c r="H30" s="59"/>
      <c r="I30" s="59"/>
      <c r="J30" s="59"/>
      <c r="K30" s="59"/>
      <c r="L30" s="60"/>
      <c r="R30" s="31">
        <v>1</v>
      </c>
      <c r="S30" s="31" t="s">
        <v>48</v>
      </c>
    </row>
    <row r="31" spans="2:19" ht="18.600000000000001" x14ac:dyDescent="0.3">
      <c r="B31" s="36"/>
      <c r="C31" s="30"/>
      <c r="D31" s="30"/>
      <c r="E31" s="30"/>
      <c r="F31" s="30"/>
      <c r="G31" s="30"/>
      <c r="H31" s="61" t="s">
        <v>49</v>
      </c>
      <c r="I31" s="59"/>
      <c r="J31" s="59"/>
      <c r="K31" s="59"/>
      <c r="L31" s="60"/>
    </row>
    <row r="32" spans="2:19" x14ac:dyDescent="0.3">
      <c r="B32" s="36"/>
      <c r="C32" s="30"/>
      <c r="D32" s="30"/>
      <c r="E32" s="30"/>
      <c r="F32" s="30"/>
      <c r="G32" s="30"/>
      <c r="H32" s="59"/>
      <c r="I32" s="59"/>
      <c r="J32" s="59"/>
      <c r="K32" s="59"/>
      <c r="L32" s="60"/>
    </row>
    <row r="33" spans="2:12" ht="15" x14ac:dyDescent="0.3">
      <c r="B33" s="36"/>
      <c r="C33" s="30"/>
      <c r="D33" s="30"/>
      <c r="E33" s="30"/>
      <c r="F33" s="30"/>
      <c r="G33" s="30"/>
      <c r="H33" s="62" t="s">
        <v>50</v>
      </c>
      <c r="I33" s="51" t="str">
        <f>+IF(E29&lt;E30,"accetto H0","rifiuto H0")</f>
        <v>rifiuto H0</v>
      </c>
      <c r="J33" s="59"/>
      <c r="K33" s="59"/>
      <c r="L33" s="60"/>
    </row>
    <row r="34" spans="2:12" ht="15.6" thickBot="1" x14ac:dyDescent="0.35">
      <c r="B34" s="63"/>
      <c r="C34" s="64"/>
      <c r="D34" s="64"/>
      <c r="E34" s="64"/>
      <c r="F34" s="64"/>
      <c r="G34" s="64"/>
      <c r="H34" s="65"/>
      <c r="I34" s="66"/>
      <c r="J34" s="67"/>
      <c r="K34" s="67"/>
      <c r="L34" s="68"/>
    </row>
    <row r="35" spans="2:12" ht="15" x14ac:dyDescent="0.3">
      <c r="H35" s="69"/>
      <c r="I35" s="70"/>
      <c r="J35" s="71"/>
      <c r="K35" s="71"/>
      <c r="L35" s="71"/>
    </row>
    <row r="36" spans="2:12" ht="15.6" thickBot="1" x14ac:dyDescent="0.35">
      <c r="H36" s="69"/>
      <c r="I36" s="70"/>
      <c r="J36" s="71"/>
      <c r="K36" s="71"/>
      <c r="L36" s="71"/>
    </row>
    <row r="37" spans="2:12" ht="15" x14ac:dyDescent="0.3">
      <c r="B37" s="32" t="s">
        <v>51</v>
      </c>
      <c r="C37" s="34"/>
      <c r="D37" s="34"/>
      <c r="E37" s="34"/>
      <c r="F37" s="34"/>
      <c r="G37" s="34"/>
      <c r="H37" s="72"/>
      <c r="I37" s="73"/>
      <c r="J37" s="74"/>
      <c r="K37" s="74"/>
      <c r="L37" s="75"/>
    </row>
    <row r="38" spans="2:12" ht="15" x14ac:dyDescent="0.3">
      <c r="B38" s="36"/>
      <c r="C38" s="30"/>
      <c r="D38" s="30"/>
      <c r="E38" s="30"/>
      <c r="F38" s="30"/>
      <c r="G38" s="30"/>
      <c r="H38" s="62"/>
      <c r="I38" s="51"/>
      <c r="J38" s="59"/>
      <c r="K38" s="59"/>
      <c r="L38" s="60"/>
    </row>
    <row r="39" spans="2:12" x14ac:dyDescent="0.3">
      <c r="B39" s="36"/>
      <c r="C39" s="30"/>
      <c r="D39" s="30"/>
      <c r="E39" s="30"/>
      <c r="F39" s="30"/>
      <c r="G39" s="30"/>
      <c r="H39" s="30"/>
      <c r="I39" s="30"/>
      <c r="J39" s="30"/>
      <c r="K39" s="30"/>
      <c r="L39" s="37"/>
    </row>
    <row r="40" spans="2:12" ht="31.5" customHeight="1" x14ac:dyDescent="0.3">
      <c r="B40" s="36"/>
      <c r="C40" s="38" t="s">
        <v>33</v>
      </c>
      <c r="D40" s="38" t="s">
        <v>34</v>
      </c>
      <c r="E40" s="38" t="s">
        <v>35</v>
      </c>
      <c r="F40" s="38" t="s">
        <v>36</v>
      </c>
      <c r="G40" s="38" t="s">
        <v>37</v>
      </c>
      <c r="H40" s="38" t="s">
        <v>52</v>
      </c>
      <c r="I40" s="38" t="s">
        <v>53</v>
      </c>
      <c r="J40" s="30"/>
      <c r="K40" s="30"/>
      <c r="L40" s="37"/>
    </row>
    <row r="41" spans="2:12" x14ac:dyDescent="0.3">
      <c r="B41" s="36"/>
      <c r="C41" s="40">
        <v>0</v>
      </c>
      <c r="D41" s="41">
        <f>D9</f>
        <v>97000</v>
      </c>
      <c r="E41" s="146">
        <f>E9</f>
        <v>0.90431085918854415</v>
      </c>
      <c r="F41" s="76">
        <f t="shared" ref="F41:G41" si="7">F9</f>
        <v>0</v>
      </c>
      <c r="G41" s="76">
        <f t="shared" si="7"/>
        <v>9.6143521090399919E-3</v>
      </c>
      <c r="H41" s="147">
        <f>(D56/(1+D56))^D53</f>
        <v>0.90433859266550531</v>
      </c>
      <c r="I41" s="149">
        <f>H41*$D$47</f>
        <v>97002.974803672769</v>
      </c>
      <c r="J41" s="77"/>
      <c r="K41" s="30"/>
      <c r="L41" s="37"/>
    </row>
    <row r="42" spans="2:12" x14ac:dyDescent="0.3">
      <c r="B42" s="151">
        <f>D42*C42</f>
        <v>9520</v>
      </c>
      <c r="C42" s="40">
        <v>1</v>
      </c>
      <c r="D42" s="41">
        <f t="shared" ref="D42:G46" si="8">D10</f>
        <v>9520</v>
      </c>
      <c r="E42" s="146">
        <f t="shared" si="8"/>
        <v>8.875298329355609E-2</v>
      </c>
      <c r="F42" s="76">
        <f t="shared" si="8"/>
        <v>8.875298329355609E-2</v>
      </c>
      <c r="G42" s="76">
        <f t="shared" si="8"/>
        <v>7.1393922396426224E-2</v>
      </c>
      <c r="H42" s="147">
        <f>H41*(C42+$D$53-1)/(C42*(1+$D$56))</f>
        <v>8.8694594945891603E-2</v>
      </c>
      <c r="I42" s="149">
        <f t="shared" ref="I42:I46" si="9">H42*$D$47</f>
        <v>9513.7370322761162</v>
      </c>
      <c r="J42" s="77"/>
      <c r="K42" s="78"/>
      <c r="L42" s="37"/>
    </row>
    <row r="43" spans="2:12" x14ac:dyDescent="0.3">
      <c r="B43" s="151">
        <f t="shared" ref="B43:B45" si="10">D43*C43</f>
        <v>1396</v>
      </c>
      <c r="C43" s="40">
        <v>2</v>
      </c>
      <c r="D43" s="41">
        <f t="shared" si="8"/>
        <v>698</v>
      </c>
      <c r="E43" s="146">
        <f t="shared" si="8"/>
        <v>6.5073090692124103E-3</v>
      </c>
      <c r="F43" s="76">
        <f t="shared" si="8"/>
        <v>1.3014618138424821E-2</v>
      </c>
      <c r="G43" s="76">
        <f t="shared" si="8"/>
        <v>2.3414543238436059E-2</v>
      </c>
      <c r="H43" s="147">
        <f t="shared" ref="H43:H45" si="11">H42*(C43+$D$53-1)/(C43*(1+$D$56))</f>
        <v>6.5142564203809795E-3</v>
      </c>
      <c r="I43" s="149">
        <f t="shared" si="9"/>
        <v>698.74520067574542</v>
      </c>
      <c r="J43" s="77"/>
      <c r="K43" s="30"/>
      <c r="L43" s="37"/>
    </row>
    <row r="44" spans="2:12" x14ac:dyDescent="0.3">
      <c r="B44" s="151">
        <f t="shared" si="10"/>
        <v>120</v>
      </c>
      <c r="C44" s="40">
        <v>3</v>
      </c>
      <c r="D44" s="41">
        <f t="shared" si="8"/>
        <v>40</v>
      </c>
      <c r="E44" s="146">
        <f t="shared" si="8"/>
        <v>3.7291169451073985E-4</v>
      </c>
      <c r="F44" s="76">
        <f t="shared" si="8"/>
        <v>1.1187350835322196E-3</v>
      </c>
      <c r="G44" s="76">
        <f t="shared" si="8"/>
        <v>3.1294641960518742E-3</v>
      </c>
      <c r="H44" s="147">
        <f t="shared" si="11"/>
        <v>4.2496172565282609E-4</v>
      </c>
      <c r="I44" s="149">
        <f t="shared" si="9"/>
        <v>45.583094540424739</v>
      </c>
      <c r="J44" s="77"/>
      <c r="K44" s="30"/>
      <c r="L44" s="37"/>
    </row>
    <row r="45" spans="2:12" x14ac:dyDescent="0.3">
      <c r="B45" s="151">
        <f t="shared" si="10"/>
        <v>24</v>
      </c>
      <c r="C45" s="40">
        <v>4</v>
      </c>
      <c r="D45" s="41">
        <f t="shared" si="8"/>
        <v>6</v>
      </c>
      <c r="E45" s="146">
        <f t="shared" si="8"/>
        <v>5.5936754176610981E-5</v>
      </c>
      <c r="F45" s="76">
        <f t="shared" si="8"/>
        <v>2.2374701670644392E-4</v>
      </c>
      <c r="G45" s="76">
        <f t="shared" si="8"/>
        <v>8.4944162185271487E-4</v>
      </c>
      <c r="H45" s="147">
        <f t="shared" si="11"/>
        <v>2.5978125872899978E-5</v>
      </c>
      <c r="I45" s="149">
        <f t="shared" si="9"/>
        <v>2.7865176936307434</v>
      </c>
      <c r="J45" s="77"/>
      <c r="K45" s="30"/>
      <c r="L45" s="37"/>
    </row>
    <row r="46" spans="2:12" x14ac:dyDescent="0.3">
      <c r="B46" s="36"/>
      <c r="C46" s="40" t="s">
        <v>40</v>
      </c>
      <c r="D46" s="41">
        <f t="shared" si="8"/>
        <v>0</v>
      </c>
      <c r="E46" s="76">
        <f t="shared" si="8"/>
        <v>0</v>
      </c>
      <c r="F46" s="76">
        <f t="shared" si="8"/>
        <v>0</v>
      </c>
      <c r="G46" s="76">
        <f t="shared" si="8"/>
        <v>0</v>
      </c>
      <c r="H46" s="148">
        <f>1-SUM(H41:H45)</f>
        <v>1.6161166963568618E-6</v>
      </c>
      <c r="I46" s="149">
        <f t="shared" si="9"/>
        <v>0.17335114131802243</v>
      </c>
      <c r="J46" s="30"/>
      <c r="K46" s="30"/>
      <c r="L46" s="37"/>
    </row>
    <row r="47" spans="2:12" x14ac:dyDescent="0.3">
      <c r="B47" s="152">
        <f>SUM(B42:B45)</f>
        <v>11060</v>
      </c>
      <c r="C47" s="40" t="s">
        <v>41</v>
      </c>
      <c r="D47" s="46">
        <f>SUM(D41:D46)</f>
        <v>107264</v>
      </c>
      <c r="E47" s="79"/>
      <c r="F47" s="80"/>
      <c r="G47" s="46"/>
      <c r="H47" s="47"/>
      <c r="I47" s="81">
        <f>SUM(I41:I46)</f>
        <v>107264.00000000001</v>
      </c>
      <c r="J47" s="30"/>
      <c r="K47" s="30"/>
      <c r="L47" s="37"/>
    </row>
    <row r="48" spans="2:12" x14ac:dyDescent="0.3">
      <c r="B48" s="36"/>
      <c r="C48" s="82"/>
      <c r="D48" s="30"/>
      <c r="E48" s="30"/>
      <c r="F48" s="30"/>
      <c r="G48" s="30"/>
      <c r="H48" s="30"/>
      <c r="I48" s="30"/>
      <c r="J48" s="30"/>
      <c r="K48" s="30"/>
      <c r="L48" s="37"/>
    </row>
    <row r="49" spans="2:12" ht="15" x14ac:dyDescent="0.25">
      <c r="B49" s="36"/>
      <c r="C49" s="51" t="s">
        <v>36</v>
      </c>
      <c r="D49" s="150">
        <f>SUM(F41:F46)</f>
        <v>0.10311008353221957</v>
      </c>
      <c r="E49" s="30"/>
      <c r="F49" s="30"/>
      <c r="G49" s="30"/>
      <c r="H49" s="30"/>
      <c r="I49" s="30"/>
      <c r="J49" s="30"/>
      <c r="K49" s="30"/>
      <c r="L49" s="37"/>
    </row>
    <row r="50" spans="2:12" ht="15" x14ac:dyDescent="0.25">
      <c r="B50" s="36"/>
      <c r="C50" s="51" t="s">
        <v>37</v>
      </c>
      <c r="D50" s="150">
        <f>SUM(G41:G46)</f>
        <v>0.10840172356180686</v>
      </c>
      <c r="E50" s="30"/>
      <c r="F50" s="30" t="s">
        <v>75</v>
      </c>
      <c r="G50" s="30"/>
      <c r="H50" s="30"/>
      <c r="I50" s="30"/>
      <c r="J50" s="30"/>
      <c r="K50" s="30"/>
      <c r="L50" s="37"/>
    </row>
    <row r="51" spans="2:12" x14ac:dyDescent="0.3">
      <c r="B51" s="36"/>
      <c r="C51" s="30"/>
      <c r="D51" s="30"/>
      <c r="E51" s="30"/>
      <c r="F51" s="30" t="s">
        <v>76</v>
      </c>
      <c r="G51" s="30"/>
      <c r="H51" s="30"/>
      <c r="I51" s="30"/>
      <c r="J51" s="30"/>
      <c r="K51" s="30"/>
      <c r="L51" s="83"/>
    </row>
    <row r="52" spans="2:12" x14ac:dyDescent="0.3">
      <c r="B52" s="36"/>
      <c r="C52" s="30"/>
      <c r="D52" s="30"/>
      <c r="E52" s="30"/>
      <c r="F52" s="30"/>
      <c r="G52" s="30"/>
      <c r="H52" s="30"/>
      <c r="I52" s="30"/>
      <c r="J52" s="55"/>
      <c r="K52" s="30"/>
      <c r="L52" s="37"/>
    </row>
    <row r="53" spans="2:12" ht="15" x14ac:dyDescent="0.25">
      <c r="B53" s="36"/>
      <c r="C53" s="62"/>
      <c r="D53" s="84">
        <f>D49^2/(D50-D49)</f>
        <v>2.009148253958327</v>
      </c>
      <c r="E53" s="30"/>
      <c r="F53" s="30" t="s">
        <v>77</v>
      </c>
      <c r="G53" s="30"/>
      <c r="H53" s="30"/>
      <c r="I53" s="30"/>
      <c r="J53" s="30"/>
      <c r="K53" s="30"/>
      <c r="L53" s="37"/>
    </row>
    <row r="54" spans="2:12" x14ac:dyDescent="0.3">
      <c r="B54" s="36"/>
      <c r="C54" s="30"/>
      <c r="D54" s="85"/>
      <c r="E54" s="30"/>
      <c r="F54" s="30"/>
      <c r="G54" s="30"/>
      <c r="H54" s="30"/>
      <c r="I54" s="30"/>
      <c r="J54" s="30"/>
      <c r="K54" s="30"/>
      <c r="L54" s="37"/>
    </row>
    <row r="55" spans="2:12" x14ac:dyDescent="0.3">
      <c r="B55" s="36"/>
      <c r="C55" s="30"/>
      <c r="D55" s="85"/>
      <c r="E55" s="30"/>
      <c r="F55" s="30"/>
      <c r="G55" s="30"/>
      <c r="H55" s="30"/>
      <c r="I55" s="30"/>
      <c r="J55" s="30"/>
      <c r="K55" s="30"/>
      <c r="L55" s="37"/>
    </row>
    <row r="56" spans="2:12" ht="15" x14ac:dyDescent="0.25">
      <c r="B56" s="36"/>
      <c r="C56" s="62"/>
      <c r="D56" s="84">
        <f>D49/(D50-D49)</f>
        <v>19.485468201861302</v>
      </c>
      <c r="E56" s="30"/>
      <c r="F56" s="30"/>
      <c r="G56" s="30"/>
      <c r="H56" s="30"/>
      <c r="I56" s="30"/>
      <c r="J56" s="86"/>
      <c r="K56" s="30"/>
      <c r="L56" s="37"/>
    </row>
    <row r="57" spans="2:12" x14ac:dyDescent="0.25">
      <c r="B57" s="36"/>
      <c r="C57" s="30"/>
      <c r="D57" s="30"/>
      <c r="E57" s="30"/>
      <c r="F57" s="30"/>
      <c r="G57" s="30"/>
      <c r="H57" s="87"/>
      <c r="I57" s="30"/>
      <c r="J57" s="30"/>
      <c r="K57" s="30"/>
      <c r="L57" s="37"/>
    </row>
    <row r="58" spans="2:12" x14ac:dyDescent="0.3">
      <c r="B58" s="36"/>
      <c r="C58" s="30"/>
      <c r="D58" s="30"/>
      <c r="E58" s="30"/>
      <c r="F58" s="30"/>
      <c r="G58" s="30"/>
      <c r="H58" s="30"/>
      <c r="I58" s="30"/>
      <c r="J58" s="30"/>
      <c r="K58" s="30"/>
      <c r="L58" s="37"/>
    </row>
    <row r="59" spans="2:12" ht="27" customHeight="1" x14ac:dyDescent="0.3">
      <c r="B59" s="36"/>
      <c r="C59" s="38" t="s">
        <v>33</v>
      </c>
      <c r="D59" s="38" t="s">
        <v>34</v>
      </c>
      <c r="E59" s="38" t="s">
        <v>53</v>
      </c>
      <c r="F59" s="38" t="s">
        <v>42</v>
      </c>
      <c r="G59" s="30"/>
      <c r="H59" s="30"/>
      <c r="I59" s="55"/>
      <c r="J59" s="30"/>
      <c r="K59" s="30"/>
      <c r="L59" s="37"/>
    </row>
    <row r="60" spans="2:12" x14ac:dyDescent="0.3">
      <c r="B60" s="36"/>
      <c r="C60" s="40">
        <f t="shared" ref="C60:C62" si="12">+C41</f>
        <v>0</v>
      </c>
      <c r="D60" s="45">
        <f>D41</f>
        <v>97000</v>
      </c>
      <c r="E60" s="45">
        <f>I41</f>
        <v>97002.974803672769</v>
      </c>
      <c r="F60" s="53">
        <f>(D60-E60)^2/E60</f>
        <v>9.1228716536056456E-5</v>
      </c>
      <c r="G60" s="30"/>
      <c r="H60" s="30"/>
      <c r="I60" s="30"/>
      <c r="J60" s="30"/>
      <c r="K60" s="30"/>
      <c r="L60" s="37"/>
    </row>
    <row r="61" spans="2:12" x14ac:dyDescent="0.3">
      <c r="B61" s="36"/>
      <c r="C61" s="40">
        <f t="shared" si="12"/>
        <v>1</v>
      </c>
      <c r="D61" s="45">
        <f t="shared" ref="D61:D62" si="13">D42</f>
        <v>9520</v>
      </c>
      <c r="E61" s="45">
        <f t="shared" ref="E61:E62" si="14">I42</f>
        <v>9513.7370322761162</v>
      </c>
      <c r="F61" s="53">
        <f t="shared" ref="F61:F63" si="15">(D61-E61)^2/E61</f>
        <v>4.122960785791825E-3</v>
      </c>
      <c r="G61" s="30"/>
      <c r="H61" s="30"/>
      <c r="I61" s="30"/>
      <c r="J61" s="30"/>
      <c r="K61" s="30"/>
      <c r="L61" s="37"/>
    </row>
    <row r="62" spans="2:12" x14ac:dyDescent="0.3">
      <c r="B62" s="36"/>
      <c r="C62" s="40">
        <f t="shared" si="12"/>
        <v>2</v>
      </c>
      <c r="D62" s="45">
        <f t="shared" si="13"/>
        <v>698</v>
      </c>
      <c r="E62" s="45">
        <f t="shared" si="14"/>
        <v>698.74520067574542</v>
      </c>
      <c r="F62" s="53">
        <f t="shared" si="15"/>
        <v>7.9474470321139906E-4</v>
      </c>
      <c r="G62" s="30"/>
      <c r="H62" s="30"/>
      <c r="I62" s="30"/>
      <c r="J62" s="30"/>
      <c r="K62" s="30"/>
      <c r="L62" s="37"/>
    </row>
    <row r="63" spans="2:12" x14ac:dyDescent="0.3">
      <c r="B63" s="36"/>
      <c r="C63" s="40" t="s">
        <v>43</v>
      </c>
      <c r="D63" s="45">
        <f>SUM(D44:D46)</f>
        <v>46</v>
      </c>
      <c r="E63" s="45">
        <f>SUM(I44:I46)</f>
        <v>48.542963375373503</v>
      </c>
      <c r="F63" s="53">
        <f t="shared" si="15"/>
        <v>0.13321524436993121</v>
      </c>
      <c r="G63" s="30"/>
      <c r="H63" s="30"/>
      <c r="I63" s="30"/>
      <c r="J63" s="30"/>
      <c r="K63" s="30"/>
      <c r="L63" s="37"/>
    </row>
    <row r="64" spans="2:12" x14ac:dyDescent="0.3">
      <c r="B64" s="36"/>
      <c r="C64" s="40" t="s">
        <v>41</v>
      </c>
      <c r="D64" s="56"/>
      <c r="E64" s="56"/>
      <c r="F64" s="79"/>
      <c r="G64" s="30"/>
      <c r="H64" s="30"/>
      <c r="I64" s="30"/>
      <c r="J64" s="30"/>
      <c r="K64" s="30"/>
      <c r="L64" s="37"/>
    </row>
    <row r="65" spans="2:12" x14ac:dyDescent="0.3">
      <c r="B65" s="36"/>
      <c r="C65" s="30"/>
      <c r="D65" s="30"/>
      <c r="E65" s="30"/>
      <c r="F65" s="30"/>
      <c r="G65" s="30"/>
      <c r="H65" s="30"/>
      <c r="I65" s="30"/>
      <c r="J65" s="30"/>
      <c r="K65" s="30"/>
      <c r="L65" s="37"/>
    </row>
    <row r="66" spans="2:12" ht="25.5" customHeight="1" x14ac:dyDescent="0.3">
      <c r="B66" s="36"/>
      <c r="C66" s="30" t="s">
        <v>78</v>
      </c>
      <c r="D66" s="30">
        <f>4-2-1</f>
        <v>1</v>
      </c>
      <c r="E66" s="30"/>
      <c r="F66" s="30"/>
      <c r="G66" s="88"/>
      <c r="H66" s="239" t="s">
        <v>44</v>
      </c>
      <c r="I66" s="240"/>
      <c r="J66" s="240"/>
      <c r="K66" s="240"/>
      <c r="L66" s="241"/>
    </row>
    <row r="67" spans="2:12" x14ac:dyDescent="0.25">
      <c r="B67" s="36"/>
      <c r="C67" s="235" t="s">
        <v>45</v>
      </c>
      <c r="D67" s="235"/>
      <c r="E67" s="57">
        <f>SUM(F60:F63)</f>
        <v>0.13822417857547048</v>
      </c>
      <c r="F67" s="30"/>
      <c r="G67" s="89"/>
      <c r="H67" s="240"/>
      <c r="I67" s="240"/>
      <c r="J67" s="240"/>
      <c r="K67" s="240"/>
      <c r="L67" s="241"/>
    </row>
    <row r="68" spans="2:12" x14ac:dyDescent="0.25">
      <c r="B68" s="36"/>
      <c r="C68" s="235" t="s">
        <v>47</v>
      </c>
      <c r="D68" s="235"/>
      <c r="E68" s="57">
        <f>CHIINV(0.05,D66)</f>
        <v>3.8414588206941236</v>
      </c>
      <c r="F68" s="30"/>
      <c r="G68" s="90"/>
      <c r="H68" s="59"/>
      <c r="I68" s="59"/>
      <c r="J68" s="59"/>
      <c r="K68" s="59"/>
      <c r="L68" s="60"/>
    </row>
    <row r="69" spans="2:12" ht="18.600000000000001" x14ac:dyDescent="0.3">
      <c r="B69" s="36"/>
      <c r="C69" s="30"/>
      <c r="D69" s="30"/>
      <c r="E69" s="30"/>
      <c r="F69" s="30"/>
      <c r="G69" s="91"/>
      <c r="H69" s="61" t="s">
        <v>49</v>
      </c>
      <c r="I69" s="59"/>
      <c r="J69" s="59"/>
      <c r="K69" s="59"/>
      <c r="L69" s="60"/>
    </row>
    <row r="70" spans="2:12" x14ac:dyDescent="0.25">
      <c r="B70" s="36"/>
      <c r="C70" s="30"/>
      <c r="D70" s="30"/>
      <c r="E70" s="30"/>
      <c r="F70" s="30"/>
      <c r="G70" s="90"/>
      <c r="H70" s="90"/>
      <c r="I70" s="90"/>
      <c r="J70" s="90"/>
      <c r="K70" s="90"/>
      <c r="L70" s="37"/>
    </row>
    <row r="71" spans="2:12" ht="15.6" x14ac:dyDescent="0.3">
      <c r="B71" s="36"/>
      <c r="C71" s="30"/>
      <c r="D71" s="30"/>
      <c r="E71" s="30"/>
      <c r="F71" s="30"/>
      <c r="G71" s="92"/>
      <c r="H71" s="62" t="s">
        <v>50</v>
      </c>
      <c r="I71" s="51" t="str">
        <f>+IF(E67&lt;E68,"accetto H0","rifiuto H0")</f>
        <v>accetto H0</v>
      </c>
      <c r="J71" s="90"/>
      <c r="K71" s="90"/>
      <c r="L71" s="37"/>
    </row>
    <row r="72" spans="2:12" ht="14.4" thickBot="1" x14ac:dyDescent="0.3">
      <c r="B72" s="63"/>
      <c r="C72" s="64"/>
      <c r="D72" s="64"/>
      <c r="E72" s="64"/>
      <c r="F72" s="93"/>
      <c r="G72" s="93"/>
      <c r="H72" s="93"/>
      <c r="I72" s="93"/>
      <c r="J72" s="93"/>
      <c r="K72" s="64"/>
      <c r="L72" s="94"/>
    </row>
  </sheetData>
  <mergeCells count="8">
    <mergeCell ref="C68:D68"/>
    <mergeCell ref="B2:L2"/>
    <mergeCell ref="B3:L4"/>
    <mergeCell ref="H28:L29"/>
    <mergeCell ref="C29:D29"/>
    <mergeCell ref="C30:D30"/>
    <mergeCell ref="H66:L67"/>
    <mergeCell ref="C67:D67"/>
  </mergeCell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5"/>
  <dimension ref="A1:I18"/>
  <sheetViews>
    <sheetView workbookViewId="0">
      <selection sqref="A1:B1"/>
    </sheetView>
  </sheetViews>
  <sheetFormatPr defaultColWidth="8.77734375" defaultRowHeight="13.2" x14ac:dyDescent="0.25"/>
  <cols>
    <col min="1" max="1" width="9.44140625" style="87" bestFit="1" customWidth="1"/>
    <col min="2" max="2" width="12.21875" style="87" customWidth="1"/>
    <col min="3" max="3" width="11.44140625" style="87" bestFit="1" customWidth="1"/>
    <col min="4" max="4" width="13.21875" style="87" customWidth="1"/>
    <col min="5" max="5" width="17.77734375" style="87" bestFit="1" customWidth="1"/>
    <col min="6" max="6" width="9.77734375" style="87" bestFit="1" customWidth="1"/>
    <col min="7" max="7" width="14.77734375" style="87" bestFit="1" customWidth="1"/>
    <col min="8" max="8" width="13.6640625" style="87" bestFit="1" customWidth="1"/>
    <col min="9" max="16384" width="8.77734375" style="87"/>
  </cols>
  <sheetData>
    <row r="1" spans="1:9" x14ac:dyDescent="0.25">
      <c r="A1" s="242" t="s">
        <v>54</v>
      </c>
      <c r="B1" s="242"/>
      <c r="C1" s="95" t="s">
        <v>55</v>
      </c>
      <c r="D1" s="95" t="s">
        <v>56</v>
      </c>
      <c r="E1" s="96" t="s">
        <v>20</v>
      </c>
    </row>
    <row r="2" spans="1:9" ht="14.4" x14ac:dyDescent="0.3">
      <c r="A2" s="97">
        <v>1</v>
      </c>
      <c r="B2" s="97">
        <v>300</v>
      </c>
      <c r="C2" s="102">
        <v>100</v>
      </c>
      <c r="D2" s="155">
        <f>AVERAGE(A2:B2)</f>
        <v>150.5</v>
      </c>
      <c r="E2" s="97">
        <f>(D2-$H$2)^2*C2</f>
        <v>461530049.98677683</v>
      </c>
      <c r="G2" s="95" t="s">
        <v>19</v>
      </c>
      <c r="H2" s="97">
        <f>SUMPRODUCT(D2:D16,C2:C16)/SUM(C2:C16)</f>
        <v>2298.8250452079565</v>
      </c>
    </row>
    <row r="3" spans="1:9" ht="14.4" x14ac:dyDescent="0.3">
      <c r="A3" s="97">
        <f>B2+1</f>
        <v>301</v>
      </c>
      <c r="B3" s="97">
        <f>B2+300</f>
        <v>600</v>
      </c>
      <c r="C3" s="102">
        <v>200</v>
      </c>
      <c r="D3" s="155">
        <f t="shared" ref="D3:D15" si="0">AVERAGE(A3:B3)</f>
        <v>450.5</v>
      </c>
      <c r="E3" s="97">
        <f t="shared" ref="E3:E16" si="1">(D3-$H$2)^2*C3</f>
        <v>683261094.54859889</v>
      </c>
      <c r="G3" s="95" t="s">
        <v>20</v>
      </c>
      <c r="H3" s="97">
        <f>SUM(E2:E16)/C17</f>
        <v>744955.60433657118</v>
      </c>
    </row>
    <row r="4" spans="1:9" ht="14.4" x14ac:dyDescent="0.3">
      <c r="A4" s="97">
        <f t="shared" ref="A4:A16" si="2">B3+1</f>
        <v>601</v>
      </c>
      <c r="B4" s="97">
        <f t="shared" ref="B4:B15" si="3">B3+300</f>
        <v>900</v>
      </c>
      <c r="C4" s="102">
        <v>300</v>
      </c>
      <c r="D4" s="155">
        <f t="shared" si="0"/>
        <v>750.5</v>
      </c>
      <c r="E4" s="97">
        <f t="shared" si="1"/>
        <v>719193133.68546617</v>
      </c>
      <c r="H4" s="99"/>
      <c r="I4" s="100"/>
    </row>
    <row r="5" spans="1:9" ht="14.4" x14ac:dyDescent="0.3">
      <c r="A5" s="97">
        <f t="shared" si="2"/>
        <v>901</v>
      </c>
      <c r="B5" s="97">
        <f t="shared" si="3"/>
        <v>1200</v>
      </c>
      <c r="C5" s="102">
        <v>150</v>
      </c>
      <c r="D5" s="155">
        <f t="shared" si="0"/>
        <v>1050.5</v>
      </c>
      <c r="E5" s="97">
        <f t="shared" si="1"/>
        <v>233747312.77401701</v>
      </c>
      <c r="G5" s="98" t="s">
        <v>57</v>
      </c>
      <c r="H5" s="98" t="s">
        <v>58</v>
      </c>
    </row>
    <row r="6" spans="1:9" ht="18" x14ac:dyDescent="0.35">
      <c r="A6" s="97">
        <f t="shared" si="2"/>
        <v>1201</v>
      </c>
      <c r="B6" s="97">
        <f t="shared" si="3"/>
        <v>1500</v>
      </c>
      <c r="C6" s="102">
        <v>300</v>
      </c>
      <c r="D6" s="155">
        <f t="shared" si="0"/>
        <v>1350.5</v>
      </c>
      <c r="E6" s="97">
        <f t="shared" si="1"/>
        <v>269796117.41060179</v>
      </c>
      <c r="G6" s="156">
        <f>LN(H2^2/SQRT(H3+H2^2))</f>
        <v>7.6742151915935475</v>
      </c>
      <c r="H6" s="156">
        <f>SQRT(LN((H3+H2^2)/H2^2))</f>
        <v>0.36314798604932158</v>
      </c>
    </row>
    <row r="7" spans="1:9" ht="14.4" x14ac:dyDescent="0.3">
      <c r="A7" s="97">
        <f t="shared" si="2"/>
        <v>1501</v>
      </c>
      <c r="B7" s="97">
        <f t="shared" si="3"/>
        <v>1800</v>
      </c>
      <c r="C7" s="102">
        <v>1000</v>
      </c>
      <c r="D7" s="155">
        <f t="shared" si="0"/>
        <v>1650.5</v>
      </c>
      <c r="E7" s="97">
        <f t="shared" si="1"/>
        <v>420325364.24389875</v>
      </c>
    </row>
    <row r="8" spans="1:9" ht="14.4" x14ac:dyDescent="0.3">
      <c r="A8" s="97">
        <f t="shared" si="2"/>
        <v>1801</v>
      </c>
      <c r="B8" s="97">
        <f t="shared" si="3"/>
        <v>2100</v>
      </c>
      <c r="C8" s="102">
        <v>2000</v>
      </c>
      <c r="D8" s="155">
        <f t="shared" si="0"/>
        <v>1950.5</v>
      </c>
      <c r="E8" s="97">
        <f t="shared" si="1"/>
        <v>242660674.23824984</v>
      </c>
      <c r="G8" s="98" t="s">
        <v>79</v>
      </c>
      <c r="H8" s="98" t="s">
        <v>80</v>
      </c>
    </row>
    <row r="9" spans="1:9" ht="14.4" x14ac:dyDescent="0.3">
      <c r="A9" s="97">
        <f t="shared" si="2"/>
        <v>2101</v>
      </c>
      <c r="B9" s="97">
        <f t="shared" si="3"/>
        <v>2400</v>
      </c>
      <c r="C9" s="102">
        <v>1000</v>
      </c>
      <c r="D9" s="155">
        <f t="shared" si="0"/>
        <v>2250.5</v>
      </c>
      <c r="E9" s="97">
        <f t="shared" si="1"/>
        <v>2335309.9943510359</v>
      </c>
      <c r="F9" s="157" t="s">
        <v>63</v>
      </c>
      <c r="G9" s="158">
        <f>'Numero dei sinistri'!D49</f>
        <v>0.10311008353221957</v>
      </c>
      <c r="H9" s="158">
        <f>G9</f>
        <v>0.10311008353221957</v>
      </c>
    </row>
    <row r="10" spans="1:9" ht="14.4" x14ac:dyDescent="0.3">
      <c r="A10" s="97">
        <f t="shared" si="2"/>
        <v>2401</v>
      </c>
      <c r="B10" s="97">
        <f t="shared" si="3"/>
        <v>2700</v>
      </c>
      <c r="C10" s="102">
        <v>5000</v>
      </c>
      <c r="D10" s="155">
        <f t="shared" si="0"/>
        <v>2550.5</v>
      </c>
      <c r="E10" s="97">
        <f t="shared" si="1"/>
        <v>316701414.34788579</v>
      </c>
      <c r="F10" s="157" t="s">
        <v>64</v>
      </c>
      <c r="G10" s="158">
        <f>G9</f>
        <v>0.10311008353221957</v>
      </c>
      <c r="H10" s="158">
        <f>'Numero dei sinistri'!D50</f>
        <v>0.10840172356180686</v>
      </c>
    </row>
    <row r="11" spans="1:9" ht="14.4" x14ac:dyDescent="0.3">
      <c r="A11" s="97">
        <f t="shared" si="2"/>
        <v>2701</v>
      </c>
      <c r="B11" s="97">
        <f t="shared" si="3"/>
        <v>3000</v>
      </c>
      <c r="C11" s="102">
        <v>200</v>
      </c>
      <c r="D11" s="155">
        <f t="shared" si="0"/>
        <v>2850.5</v>
      </c>
      <c r="E11" s="97">
        <f t="shared" si="1"/>
        <v>60869051.148960657</v>
      </c>
      <c r="F11" s="157" t="s">
        <v>60</v>
      </c>
      <c r="G11" s="153">
        <f>H2</f>
        <v>2298.8250452079565</v>
      </c>
      <c r="H11" s="153">
        <f>H2</f>
        <v>2298.8250452079565</v>
      </c>
    </row>
    <row r="12" spans="1:9" ht="14.4" x14ac:dyDescent="0.3">
      <c r="A12" s="97">
        <f t="shared" si="2"/>
        <v>3001</v>
      </c>
      <c r="B12" s="97">
        <f t="shared" si="3"/>
        <v>3300</v>
      </c>
      <c r="C12" s="102">
        <v>130</v>
      </c>
      <c r="D12" s="155">
        <f t="shared" si="0"/>
        <v>3150.5</v>
      </c>
      <c r="E12" s="97">
        <f t="shared" si="1"/>
        <v>94295529.720603824</v>
      </c>
      <c r="F12" s="157" t="s">
        <v>61</v>
      </c>
      <c r="G12" s="153">
        <f>H3</f>
        <v>744955.60433657118</v>
      </c>
      <c r="H12" s="153">
        <f>H3</f>
        <v>744955.60433657118</v>
      </c>
    </row>
    <row r="13" spans="1:9" ht="14.4" x14ac:dyDescent="0.3">
      <c r="A13" s="97">
        <f t="shared" si="2"/>
        <v>3301</v>
      </c>
      <c r="B13" s="97">
        <f t="shared" si="3"/>
        <v>3600</v>
      </c>
      <c r="C13" s="102">
        <v>50</v>
      </c>
      <c r="D13" s="155">
        <f t="shared" si="0"/>
        <v>3450.5</v>
      </c>
      <c r="E13" s="97">
        <f t="shared" si="1"/>
        <v>66317760.074762776</v>
      </c>
      <c r="G13" s="87">
        <v>0</v>
      </c>
      <c r="H13" s="87" t="s">
        <v>82</v>
      </c>
    </row>
    <row r="14" spans="1:9" ht="14.4" x14ac:dyDescent="0.3">
      <c r="A14" s="97">
        <f t="shared" si="2"/>
        <v>3601</v>
      </c>
      <c r="B14" s="97">
        <f t="shared" si="3"/>
        <v>3900</v>
      </c>
      <c r="C14" s="102">
        <v>80</v>
      </c>
      <c r="D14" s="155">
        <f t="shared" si="0"/>
        <v>3750.5</v>
      </c>
      <c r="E14" s="97">
        <f t="shared" si="1"/>
        <v>168588813.94963855</v>
      </c>
      <c r="G14" s="87">
        <v>1</v>
      </c>
      <c r="H14" s="87" t="s">
        <v>81</v>
      </c>
    </row>
    <row r="15" spans="1:9" ht="14.4" x14ac:dyDescent="0.3">
      <c r="A15" s="97">
        <f t="shared" si="2"/>
        <v>3901</v>
      </c>
      <c r="B15" s="97">
        <f t="shared" si="3"/>
        <v>4200</v>
      </c>
      <c r="C15" s="102">
        <v>500</v>
      </c>
      <c r="D15" s="155">
        <f t="shared" si="0"/>
        <v>4050.5</v>
      </c>
      <c r="E15" s="97">
        <f t="shared" si="1"/>
        <v>1534182573.622854</v>
      </c>
      <c r="G15" s="87">
        <v>2</v>
      </c>
      <c r="H15" s="87" t="s">
        <v>83</v>
      </c>
    </row>
    <row r="16" spans="1:9" ht="14.4" x14ac:dyDescent="0.3">
      <c r="A16" s="97">
        <f t="shared" si="2"/>
        <v>4201</v>
      </c>
      <c r="B16" s="101" t="s">
        <v>59</v>
      </c>
      <c r="C16" s="102">
        <v>50</v>
      </c>
      <c r="D16" s="154">
        <v>10000</v>
      </c>
      <c r="E16" s="97">
        <f t="shared" si="1"/>
        <v>2965404784.2158117</v>
      </c>
      <c r="G16" s="87">
        <v>3</v>
      </c>
      <c r="H16" s="87" t="s">
        <v>84</v>
      </c>
    </row>
    <row r="17" spans="3:8" ht="14.4" x14ac:dyDescent="0.3">
      <c r="C17" s="97">
        <f>SUM(C2:C16)</f>
        <v>11060</v>
      </c>
      <c r="D17" s="103"/>
      <c r="G17" s="87">
        <v>4</v>
      </c>
      <c r="H17" s="87" t="s">
        <v>85</v>
      </c>
    </row>
    <row r="18" spans="3:8" x14ac:dyDescent="0.25">
      <c r="G18" s="87">
        <v>5</v>
      </c>
      <c r="H18" s="87" t="s">
        <v>86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1"/>
  <dimension ref="A1:CZ141"/>
  <sheetViews>
    <sheetView zoomScaleNormal="100" workbookViewId="0">
      <selection activeCell="B4" sqref="B4"/>
    </sheetView>
  </sheetViews>
  <sheetFormatPr defaultRowHeight="14.4" x14ac:dyDescent="0.3"/>
  <cols>
    <col min="1" max="1" width="24.77734375" bestFit="1" customWidth="1"/>
    <col min="2" max="2" width="18" bestFit="1" customWidth="1"/>
    <col min="3" max="3" width="36" style="110" bestFit="1" customWidth="1"/>
    <col min="4" max="45" width="37" style="110" bestFit="1" customWidth="1"/>
    <col min="46" max="102" width="26.44140625" style="110" bestFit="1" customWidth="1"/>
    <col min="103" max="103" width="25.5546875" style="110" customWidth="1"/>
    <col min="104" max="104" width="24.77734375" bestFit="1" customWidth="1"/>
  </cols>
  <sheetData>
    <row r="1" spans="1:104" x14ac:dyDescent="0.3">
      <c r="A1" s="105" t="s">
        <v>0</v>
      </c>
    </row>
    <row r="2" spans="1:104" x14ac:dyDescent="0.3">
      <c r="A2" s="12" t="s">
        <v>69</v>
      </c>
      <c r="B2" s="160">
        <f>'Numero dei sinistri'!D49</f>
        <v>0.10311008353221957</v>
      </c>
    </row>
    <row r="3" spans="1:104" x14ac:dyDescent="0.3">
      <c r="A3" s="12" t="s">
        <v>11</v>
      </c>
      <c r="B3" s="159">
        <v>400</v>
      </c>
      <c r="C3" s="106"/>
    </row>
    <row r="4" spans="1:104" x14ac:dyDescent="0.3">
      <c r="A4" s="12" t="s">
        <v>10</v>
      </c>
      <c r="B4" s="132">
        <f>B3*B2</f>
        <v>41.244033412887823</v>
      </c>
      <c r="L4" s="122"/>
    </row>
    <row r="5" spans="1:104" x14ac:dyDescent="0.3">
      <c r="A5" s="12" t="s">
        <v>3</v>
      </c>
      <c r="B5" s="11"/>
      <c r="C5" s="168">
        <f>C6</f>
        <v>1.2244579557937991E-18</v>
      </c>
      <c r="D5" s="168">
        <f>C5+D6</f>
        <v>5.1726042797229571E-17</v>
      </c>
      <c r="E5" s="168">
        <f t="shared" ref="E5:BP5" si="0">D5+E6</f>
        <v>1.093170569099213E-15</v>
      </c>
      <c r="F5" s="168">
        <f t="shared" si="0"/>
        <v>1.5410961515921928E-14</v>
      </c>
      <c r="G5" s="168">
        <f t="shared" si="0"/>
        <v>1.6304182356829649E-13</v>
      </c>
      <c r="H5" s="168">
        <f t="shared" si="0"/>
        <v>1.3808202650206105E-12</v>
      </c>
      <c r="I5" s="168">
        <f t="shared" si="0"/>
        <v>9.7518360531462157E-12</v>
      </c>
      <c r="J5" s="168">
        <f t="shared" si="0"/>
        <v>5.9073901033898358E-11</v>
      </c>
      <c r="K5" s="168">
        <f t="shared" si="0"/>
        <v>3.1335401304124397E-10</v>
      </c>
      <c r="L5" s="168">
        <f t="shared" si="0"/>
        <v>1.4786359503594455E-9</v>
      </c>
      <c r="M5" s="168">
        <f t="shared" si="0"/>
        <v>6.2847286661781184E-9</v>
      </c>
      <c r="N5" s="168">
        <f t="shared" si="0"/>
        <v>2.4304969444056399E-8</v>
      </c>
      <c r="O5" s="168">
        <f t="shared" si="0"/>
        <v>8.6240587173314371E-8</v>
      </c>
      <c r="P5" s="168">
        <f t="shared" si="0"/>
        <v>2.8273864002511214E-7</v>
      </c>
      <c r="Q5" s="168">
        <f t="shared" si="0"/>
        <v>8.6162237269560811E-7</v>
      </c>
      <c r="R5" s="168">
        <f t="shared" si="0"/>
        <v>2.4533223735248818E-6</v>
      </c>
      <c r="S5" s="168">
        <f t="shared" si="0"/>
        <v>6.5563303746183955E-6</v>
      </c>
      <c r="T5" s="168">
        <f t="shared" si="0"/>
        <v>1.6510718556409397E-5</v>
      </c>
      <c r="U5" s="168">
        <f t="shared" si="0"/>
        <v>3.9319558488334004E-5</v>
      </c>
      <c r="V5" s="168">
        <f t="shared" si="0"/>
        <v>8.8831587765255565E-5</v>
      </c>
      <c r="W5" s="168">
        <f t="shared" si="0"/>
        <v>1.9093537725711724E-4</v>
      </c>
      <c r="X5" s="168">
        <f t="shared" si="0"/>
        <v>3.914673822754415E-4</v>
      </c>
      <c r="Y5" s="168">
        <f t="shared" si="0"/>
        <v>7.6741050569949514E-4</v>
      </c>
      <c r="Z5" s="168">
        <f t="shared" si="0"/>
        <v>1.4415587989102337E-3</v>
      </c>
      <c r="AA5" s="168">
        <f t="shared" si="0"/>
        <v>2.6000835793446109E-3</v>
      </c>
      <c r="AB5" s="168">
        <f t="shared" si="0"/>
        <v>4.5113729695003702E-3</v>
      </c>
      <c r="AC5" s="168">
        <f t="shared" si="0"/>
        <v>7.5432684875496869E-3</v>
      </c>
      <c r="AD5" s="168">
        <f t="shared" si="0"/>
        <v>1.2174661082024163E-2</v>
      </c>
      <c r="AE5" s="168">
        <f t="shared" si="0"/>
        <v>1.8996707900406536E-2</v>
      </c>
      <c r="AF5" s="168">
        <f t="shared" si="0"/>
        <v>2.8699077794256456E-2</v>
      </c>
      <c r="AG5" s="168">
        <f t="shared" si="0"/>
        <v>4.2037906730461205E-2</v>
      </c>
      <c r="AH5" s="168">
        <f t="shared" si="0"/>
        <v>5.9784587579932921E-2</v>
      </c>
      <c r="AI5" s="168">
        <f t="shared" si="0"/>
        <v>8.2657859390041333E-2</v>
      </c>
      <c r="AJ5" s="168">
        <f t="shared" si="0"/>
        <v>0.11124531353544062</v>
      </c>
      <c r="AK5" s="168">
        <f t="shared" si="0"/>
        <v>0.14592360512256553</v>
      </c>
      <c r="AL5" s="168">
        <f t="shared" si="0"/>
        <v>0.18678853703460108</v>
      </c>
      <c r="AM5" s="168">
        <f t="shared" si="0"/>
        <v>0.23360616529002831</v>
      </c>
      <c r="AN5" s="168">
        <f t="shared" si="0"/>
        <v>0.28579394431919053</v>
      </c>
      <c r="AO5" s="168">
        <f t="shared" si="0"/>
        <v>0.34243695753032671</v>
      </c>
      <c r="AP5" s="168">
        <f t="shared" si="0"/>
        <v>0.40233917110690998</v>
      </c>
      <c r="AQ5" s="168">
        <f t="shared" si="0"/>
        <v>0.46410439356337352</v>
      </c>
      <c r="AR5" s="168">
        <f t="shared" si="0"/>
        <v>0.52623724475236944</v>
      </c>
      <c r="AS5" s="168">
        <f t="shared" si="0"/>
        <v>0.5872517540494393</v>
      </c>
      <c r="AT5" s="168">
        <f t="shared" si="0"/>
        <v>0.64577464847081845</v>
      </c>
      <c r="AU5" s="168">
        <f t="shared" si="0"/>
        <v>0.70063192603750635</v>
      </c>
      <c r="AV5" s="168">
        <f t="shared" si="0"/>
        <v>0.7509104902352961</v>
      </c>
      <c r="AW5" s="168">
        <f t="shared" si="0"/>
        <v>0.79599072462063669</v>
      </c>
      <c r="AX5" s="168">
        <f t="shared" si="0"/>
        <v>0.83555010107276007</v>
      </c>
      <c r="AY5" s="168">
        <f t="shared" si="0"/>
        <v>0.86954152282660147</v>
      </c>
      <c r="AZ5" s="168">
        <f t="shared" si="0"/>
        <v>0.8981526112871524</v>
      </c>
      <c r="BA5" s="168">
        <f t="shared" si="0"/>
        <v>0.92175334505607343</v>
      </c>
      <c r="BB5" s="168">
        <f t="shared" si="0"/>
        <v>0.94083941274497629</v>
      </c>
      <c r="BC5" s="168">
        <f t="shared" si="0"/>
        <v>0.95597761300424078</v>
      </c>
      <c r="BD5" s="168">
        <f t="shared" si="0"/>
        <v>0.96775799861375189</v>
      </c>
      <c r="BE5" s="168">
        <f t="shared" si="0"/>
        <v>0.97675560264514782</v>
      </c>
      <c r="BF5" s="168">
        <f t="shared" si="0"/>
        <v>0.98350282957799928</v>
      </c>
      <c r="BG5" s="168">
        <f t="shared" si="0"/>
        <v>0.98847216623983614</v>
      </c>
      <c r="BH5" s="168">
        <f t="shared" si="0"/>
        <v>0.99206787654370776</v>
      </c>
      <c r="BI5" s="168">
        <f t="shared" si="0"/>
        <v>0.99462480061122416</v>
      </c>
      <c r="BJ5" s="168">
        <f t="shared" si="0"/>
        <v>0.9964122219955438</v>
      </c>
      <c r="BK5" s="168">
        <f t="shared" si="0"/>
        <v>0.99764089645050702</v>
      </c>
      <c r="BL5" s="168">
        <f t="shared" si="0"/>
        <v>0.99847164219270479</v>
      </c>
      <c r="BM5" s="168">
        <f t="shared" si="0"/>
        <v>0.99902427614671796</v>
      </c>
      <c r="BN5" s="168">
        <f t="shared" si="0"/>
        <v>0.99938606746837533</v>
      </c>
      <c r="BO5" s="168">
        <f t="shared" si="0"/>
        <v>0.99961921955210864</v>
      </c>
      <c r="BP5" s="168">
        <f t="shared" si="0"/>
        <v>0.9997671600495206</v>
      </c>
      <c r="BQ5" s="168">
        <f t="shared" ref="BQ5:CY5" si="1">BP5+BQ6</f>
        <v>0.9998596094861627</v>
      </c>
      <c r="BR5" s="168">
        <f t="shared" si="1"/>
        <v>0.99991651974965334</v>
      </c>
      <c r="BS5" s="168">
        <f t="shared" si="1"/>
        <v>0.99995103752625547</v>
      </c>
      <c r="BT5" s="168">
        <f t="shared" si="1"/>
        <v>0.99997167016874122</v>
      </c>
      <c r="BU5" s="168">
        <f t="shared" si="1"/>
        <v>0.99998382693154231</v>
      </c>
      <c r="BV5" s="168">
        <f t="shared" si="1"/>
        <v>0.99999088881789666</v>
      </c>
      <c r="BW5" s="168">
        <f t="shared" si="1"/>
        <v>0.9999949341050739</v>
      </c>
      <c r="BX5" s="168">
        <f t="shared" si="1"/>
        <v>0.99999721963876564</v>
      </c>
      <c r="BY5" s="168">
        <f t="shared" si="1"/>
        <v>0.99999849348508929</v>
      </c>
      <c r="BZ5" s="168">
        <f t="shared" si="1"/>
        <v>0.9999991939992271</v>
      </c>
      <c r="CA5" s="168">
        <f t="shared" si="1"/>
        <v>0.99999957415749696</v>
      </c>
      <c r="CB5" s="168">
        <f t="shared" si="1"/>
        <v>0.99999977778425519</v>
      </c>
      <c r="CC5" s="168">
        <f t="shared" si="1"/>
        <v>0.99999988545590668</v>
      </c>
      <c r="CD5" s="168">
        <f t="shared" si="1"/>
        <v>0.99999994166873196</v>
      </c>
      <c r="CE5" s="168">
        <f t="shared" si="1"/>
        <v>0.99999997064927748</v>
      </c>
      <c r="CF5" s="168">
        <f t="shared" si="1"/>
        <v>0.99999998540575386</v>
      </c>
      <c r="CG5" s="168">
        <f t="shared" si="1"/>
        <v>0.99999999282790764</v>
      </c>
      <c r="CH5" s="168">
        <f t="shared" si="1"/>
        <v>0.99999999651609506</v>
      </c>
      <c r="CI5" s="168">
        <f t="shared" si="1"/>
        <v>0.9999999983269966</v>
      </c>
      <c r="CJ5" s="168">
        <f t="shared" si="1"/>
        <v>0.99999999920568927</v>
      </c>
      <c r="CK5" s="168">
        <f t="shared" si="1"/>
        <v>0.99999999962709429</v>
      </c>
      <c r="CL5" s="168">
        <f t="shared" si="1"/>
        <v>0.99999999982686949</v>
      </c>
      <c r="CM5" s="168">
        <f t="shared" si="1"/>
        <v>0.99999999992050059</v>
      </c>
      <c r="CN5" s="168">
        <f t="shared" si="1"/>
        <v>0.99999999996389077</v>
      </c>
      <c r="CO5" s="168">
        <f t="shared" si="1"/>
        <v>0.99999999998377509</v>
      </c>
      <c r="CP5" s="168">
        <f t="shared" si="1"/>
        <v>0.99999999999278721</v>
      </c>
      <c r="CQ5" s="168">
        <f t="shared" si="1"/>
        <v>0.99999999999682743</v>
      </c>
      <c r="CR5" s="168">
        <f t="shared" si="1"/>
        <v>0.99999999999861922</v>
      </c>
      <c r="CS5" s="168">
        <f t="shared" si="1"/>
        <v>0.99999999999940536</v>
      </c>
      <c r="CT5" s="168">
        <f t="shared" si="1"/>
        <v>0.99999999999974665</v>
      </c>
      <c r="CU5" s="168">
        <f t="shared" si="1"/>
        <v>0.99999999999989331</v>
      </c>
      <c r="CV5" s="168">
        <f t="shared" si="1"/>
        <v>0.9999999999999557</v>
      </c>
      <c r="CW5" s="168">
        <f t="shared" si="1"/>
        <v>0.9999999999999819</v>
      </c>
      <c r="CX5" s="168">
        <f t="shared" si="1"/>
        <v>0.99999999999999278</v>
      </c>
      <c r="CY5" s="168">
        <f t="shared" si="1"/>
        <v>0.99999999999999734</v>
      </c>
      <c r="CZ5" s="168">
        <v>1</v>
      </c>
    </row>
    <row r="6" spans="1:104" x14ac:dyDescent="0.3">
      <c r="A6" s="12" t="s">
        <v>2</v>
      </c>
      <c r="B6" s="11"/>
      <c r="C6" s="167">
        <f>POISSON(C7,$B$4,FALSE)</f>
        <v>1.2244579557937991E-18</v>
      </c>
      <c r="D6" s="167">
        <f t="shared" ref="D6:BO6" si="2">POISSON(D7,$B$4,FALSE)</f>
        <v>5.0501584841435771E-17</v>
      </c>
      <c r="E6" s="167">
        <f t="shared" si="2"/>
        <v>1.0414445263019834E-15</v>
      </c>
      <c r="F6" s="167">
        <f t="shared" si="2"/>
        <v>1.4317790946822715E-14</v>
      </c>
      <c r="G6" s="167">
        <f t="shared" si="2"/>
        <v>1.4763086205237456E-13</v>
      </c>
      <c r="H6" s="167">
        <f t="shared" si="2"/>
        <v>1.217778441452314E-12</v>
      </c>
      <c r="I6" s="167">
        <f t="shared" si="2"/>
        <v>8.371015788125605E-12</v>
      </c>
      <c r="J6" s="167">
        <f t="shared" si="2"/>
        <v>4.9322064980752141E-11</v>
      </c>
      <c r="K6" s="167">
        <f t="shared" si="2"/>
        <v>2.5428011200734561E-10</v>
      </c>
      <c r="L6" s="167">
        <f t="shared" si="2"/>
        <v>1.1652819373182016E-9</v>
      </c>
      <c r="M6" s="167">
        <f t="shared" si="2"/>
        <v>4.8060927158186727E-9</v>
      </c>
      <c r="N6" s="167">
        <f t="shared" si="2"/>
        <v>1.8020240777878281E-8</v>
      </c>
      <c r="O6" s="167">
        <f t="shared" si="2"/>
        <v>6.1935617729257972E-8</v>
      </c>
      <c r="P6" s="167">
        <f t="shared" si="2"/>
        <v>1.9649805285179774E-7</v>
      </c>
      <c r="Q6" s="167">
        <f t="shared" si="2"/>
        <v>5.7888373267049597E-7</v>
      </c>
      <c r="R6" s="167">
        <f t="shared" si="2"/>
        <v>1.5917000008292738E-6</v>
      </c>
      <c r="S6" s="167">
        <f t="shared" si="2"/>
        <v>4.1030080010935142E-6</v>
      </c>
      <c r="T6" s="167">
        <f t="shared" si="2"/>
        <v>9.9543881817910002E-6</v>
      </c>
      <c r="U6" s="167">
        <f t="shared" si="2"/>
        <v>2.2808839931924606E-5</v>
      </c>
      <c r="V6" s="167">
        <f t="shared" si="2"/>
        <v>4.9512029276921568E-5</v>
      </c>
      <c r="W6" s="167">
        <f t="shared" si="2"/>
        <v>1.0210378949186168E-4</v>
      </c>
      <c r="X6" s="167">
        <f t="shared" si="2"/>
        <v>2.0053200501832428E-4</v>
      </c>
      <c r="Y6" s="167">
        <f t="shared" si="2"/>
        <v>3.7594312342405359E-4</v>
      </c>
      <c r="Z6" s="167">
        <f t="shared" si="2"/>
        <v>6.7414829321073852E-4</v>
      </c>
      <c r="AA6" s="167">
        <f t="shared" si="2"/>
        <v>1.158524780434377E-3</v>
      </c>
      <c r="AB6" s="167">
        <f t="shared" si="2"/>
        <v>1.9112893901557593E-3</v>
      </c>
      <c r="AC6" s="167">
        <f t="shared" si="2"/>
        <v>3.0318955180493163E-3</v>
      </c>
      <c r="AD6" s="167">
        <f t="shared" si="2"/>
        <v>4.6313925944744764E-3</v>
      </c>
      <c r="AE6" s="167">
        <f t="shared" si="2"/>
        <v>6.822046818382374E-3</v>
      </c>
      <c r="AF6" s="167">
        <f t="shared" si="2"/>
        <v>9.7023698938499183E-3</v>
      </c>
      <c r="AG6" s="167">
        <f t="shared" si="2"/>
        <v>1.3338828936204751E-2</v>
      </c>
      <c r="AH6" s="167">
        <f t="shared" si="2"/>
        <v>1.7746680849471719E-2</v>
      </c>
      <c r="AI6" s="167">
        <f t="shared" si="2"/>
        <v>2.2873271810108405E-2</v>
      </c>
      <c r="AJ6" s="167">
        <f t="shared" si="2"/>
        <v>2.8587454145399281E-2</v>
      </c>
      <c r="AK6" s="167">
        <f t="shared" si="2"/>
        <v>3.4678291587124897E-2</v>
      </c>
      <c r="AL6" s="167">
        <f t="shared" si="2"/>
        <v>4.0864931912035565E-2</v>
      </c>
      <c r="AM6" s="167">
        <f t="shared" si="2"/>
        <v>4.6817628255427235E-2</v>
      </c>
      <c r="AN6" s="167">
        <f t="shared" si="2"/>
        <v>5.2187779029162239E-2</v>
      </c>
      <c r="AO6" s="167">
        <f t="shared" si="2"/>
        <v>5.6643013211136163E-2</v>
      </c>
      <c r="AP6" s="167">
        <f t="shared" si="2"/>
        <v>5.9902213576583235E-2</v>
      </c>
      <c r="AQ6" s="167">
        <f t="shared" si="2"/>
        <v>6.1765222456463535E-2</v>
      </c>
      <c r="AR6" s="167">
        <f t="shared" si="2"/>
        <v>6.2132851188995877E-2</v>
      </c>
      <c r="AS6" s="167">
        <f t="shared" si="2"/>
        <v>6.1014509297069842E-2</v>
      </c>
      <c r="AT6" s="167">
        <f t="shared" si="2"/>
        <v>5.8522894421379132E-2</v>
      </c>
      <c r="AU6" s="167">
        <f t="shared" si="2"/>
        <v>5.4857277566687908E-2</v>
      </c>
      <c r="AV6" s="167">
        <f t="shared" si="2"/>
        <v>5.027856419778972E-2</v>
      </c>
      <c r="AW6" s="167">
        <f t="shared" si="2"/>
        <v>4.5080234385340541E-2</v>
      </c>
      <c r="AX6" s="167">
        <f t="shared" si="2"/>
        <v>3.9559376452123422E-2</v>
      </c>
      <c r="AY6" s="167">
        <f t="shared" si="2"/>
        <v>3.3991421753841379E-2</v>
      </c>
      <c r="AZ6" s="167">
        <f t="shared" si="2"/>
        <v>2.8611088460550892E-2</v>
      </c>
      <c r="BA6" s="167">
        <f t="shared" si="2"/>
        <v>2.3600733768921009E-2</v>
      </c>
      <c r="BB6" s="167">
        <f t="shared" si="2"/>
        <v>1.9086067688902916E-2</v>
      </c>
      <c r="BC6" s="167">
        <f t="shared" si="2"/>
        <v>1.5138200259264446E-2</v>
      </c>
      <c r="BD6" s="167">
        <f t="shared" si="2"/>
        <v>1.1780385609511139E-2</v>
      </c>
      <c r="BE6" s="167">
        <f t="shared" si="2"/>
        <v>8.9976040313959147E-3</v>
      </c>
      <c r="BF6" s="167">
        <f t="shared" si="2"/>
        <v>6.7472269328514179E-3</v>
      </c>
      <c r="BG6" s="167">
        <f t="shared" si="2"/>
        <v>4.9693366618368037E-3</v>
      </c>
      <c r="BH6" s="167">
        <f t="shared" si="2"/>
        <v>3.5957103038716607E-3</v>
      </c>
      <c r="BI6" s="167">
        <f t="shared" si="2"/>
        <v>2.5569240675163492E-3</v>
      </c>
      <c r="BJ6" s="167">
        <f t="shared" si="2"/>
        <v>1.7874213843196828E-3</v>
      </c>
      <c r="BK6" s="167">
        <f t="shared" si="2"/>
        <v>1.2286744549631847E-3</v>
      </c>
      <c r="BL6" s="167">
        <f t="shared" si="2"/>
        <v>8.3074574219776237E-4</v>
      </c>
      <c r="BM6" s="167">
        <f t="shared" si="2"/>
        <v>5.5263395401320445E-4</v>
      </c>
      <c r="BN6" s="167">
        <f t="shared" si="2"/>
        <v>3.6179132165741357E-4</v>
      </c>
      <c r="BO6" s="167">
        <f t="shared" si="2"/>
        <v>2.3315208373329938E-4</v>
      </c>
      <c r="BP6" s="167">
        <f t="shared" ref="BP6:CY6" si="3">POISSON(BP7,$B$4,FALSE)</f>
        <v>1.4794049741200877E-4</v>
      </c>
      <c r="BQ6" s="167">
        <f t="shared" si="3"/>
        <v>9.2449436642123793E-5</v>
      </c>
      <c r="BR6" s="167">
        <f t="shared" si="3"/>
        <v>5.6910263490602982E-5</v>
      </c>
      <c r="BS6" s="167">
        <f t="shared" si="3"/>
        <v>3.4517776602098467E-5</v>
      </c>
      <c r="BT6" s="167">
        <f t="shared" si="3"/>
        <v>2.0632642485732407E-5</v>
      </c>
      <c r="BU6" s="167">
        <f t="shared" si="3"/>
        <v>1.2156762801110246E-5</v>
      </c>
      <c r="BV6" s="167">
        <f t="shared" si="3"/>
        <v>7.0618863543878932E-6</v>
      </c>
      <c r="BW6" s="167">
        <f t="shared" si="3"/>
        <v>4.0452871771998867E-6</v>
      </c>
      <c r="BX6" s="167">
        <f t="shared" si="3"/>
        <v>2.2855336917967051E-6</v>
      </c>
      <c r="BY6" s="167">
        <f t="shared" si="3"/>
        <v>1.2738463236587062E-6</v>
      </c>
      <c r="BZ6" s="167">
        <f t="shared" si="3"/>
        <v>7.0051413781152029E-7</v>
      </c>
      <c r="CA6" s="167">
        <f t="shared" si="3"/>
        <v>3.8015826981708578E-7</v>
      </c>
      <c r="CB6" s="167">
        <f t="shared" si="3"/>
        <v>2.0362675821456414E-7</v>
      </c>
      <c r="CC6" s="167">
        <f t="shared" si="3"/>
        <v>1.0767165153281467E-7</v>
      </c>
      <c r="CD6" s="167">
        <f t="shared" si="3"/>
        <v>5.6212825233420736E-8</v>
      </c>
      <c r="CE6" s="167">
        <f t="shared" si="3"/>
        <v>2.8980545527000551E-8</v>
      </c>
      <c r="CF6" s="167">
        <f t="shared" si="3"/>
        <v>1.4756476395547114E-8</v>
      </c>
      <c r="CG6" s="167">
        <f t="shared" si="3"/>
        <v>7.4221537257858654E-9</v>
      </c>
      <c r="CH6" s="167">
        <f t="shared" si="3"/>
        <v>3.6881874248421238E-9</v>
      </c>
      <c r="CI6" s="167">
        <f t="shared" si="3"/>
        <v>1.8109014926569437E-9</v>
      </c>
      <c r="CJ6" s="167">
        <f t="shared" si="3"/>
        <v>8.7869272553636876E-10</v>
      </c>
      <c r="CK6" s="167">
        <f t="shared" si="3"/>
        <v>4.2140502478701253E-10</v>
      </c>
      <c r="CL6" s="167">
        <f t="shared" si="3"/>
        <v>1.9977520600775279E-10</v>
      </c>
      <c r="CM6" s="167">
        <f t="shared" si="3"/>
        <v>9.3631082632389874E-11</v>
      </c>
      <c r="CN6" s="167">
        <f t="shared" si="3"/>
        <v>4.3390151691855869E-11</v>
      </c>
      <c r="CO6" s="167">
        <f t="shared" si="3"/>
        <v>1.9884276290768658E-11</v>
      </c>
      <c r="CP6" s="167">
        <f t="shared" si="3"/>
        <v>9.0121731398630815E-12</v>
      </c>
      <c r="CQ6" s="167">
        <f t="shared" si="3"/>
        <v>4.040199675035254E-12</v>
      </c>
      <c r="CR6" s="167">
        <f t="shared" si="3"/>
        <v>1.7917648429236104E-12</v>
      </c>
      <c r="CS6" s="167">
        <f t="shared" si="3"/>
        <v>7.861660537189266E-13</v>
      </c>
      <c r="CT6" s="167">
        <f t="shared" si="3"/>
        <v>3.413121998701188E-13</v>
      </c>
      <c r="CU6" s="167">
        <f t="shared" si="3"/>
        <v>1.466363726632213E-13</v>
      </c>
      <c r="CV6" s="167">
        <f t="shared" si="3"/>
        <v>6.2349231481098877E-14</v>
      </c>
      <c r="CW6" s="167">
        <f t="shared" si="3"/>
        <v>2.6240140678309957E-14</v>
      </c>
      <c r="CX6" s="167">
        <f t="shared" si="3"/>
        <v>1.0931810493889653E-14</v>
      </c>
      <c r="CY6" s="167">
        <f t="shared" si="3"/>
        <v>4.5087195727334114E-15</v>
      </c>
      <c r="CZ6" s="135">
        <f>CZ5-CY5</f>
        <v>2.6645352591003757E-15</v>
      </c>
    </row>
    <row r="7" spans="1:104" x14ac:dyDescent="0.3">
      <c r="C7" s="16">
        <v>0</v>
      </c>
      <c r="D7" s="16">
        <v>1</v>
      </c>
      <c r="E7" s="16">
        <v>2</v>
      </c>
      <c r="F7" s="16">
        <v>3</v>
      </c>
      <c r="G7" s="16">
        <v>4</v>
      </c>
      <c r="H7" s="16">
        <v>5</v>
      </c>
      <c r="I7" s="16">
        <v>6</v>
      </c>
      <c r="J7" s="16">
        <v>7</v>
      </c>
      <c r="K7" s="16">
        <v>8</v>
      </c>
      <c r="L7" s="16">
        <v>9</v>
      </c>
      <c r="M7" s="16">
        <v>10</v>
      </c>
      <c r="N7" s="16">
        <v>11</v>
      </c>
      <c r="O7" s="16">
        <v>12</v>
      </c>
      <c r="P7" s="16">
        <v>13</v>
      </c>
      <c r="Q7" s="16">
        <v>14</v>
      </c>
      <c r="R7" s="16">
        <v>15</v>
      </c>
      <c r="S7" s="16">
        <v>16</v>
      </c>
      <c r="T7" s="16">
        <v>17</v>
      </c>
      <c r="U7" s="16">
        <v>18</v>
      </c>
      <c r="V7" s="16">
        <v>19</v>
      </c>
      <c r="W7" s="16">
        <v>20</v>
      </c>
      <c r="X7" s="16">
        <v>21</v>
      </c>
      <c r="Y7" s="16">
        <v>22</v>
      </c>
      <c r="Z7" s="16">
        <v>23</v>
      </c>
      <c r="AA7" s="16">
        <v>24</v>
      </c>
      <c r="AB7" s="16">
        <v>25</v>
      </c>
      <c r="AC7" s="16">
        <v>26</v>
      </c>
      <c r="AD7" s="16">
        <v>27</v>
      </c>
      <c r="AE7" s="16">
        <v>28</v>
      </c>
      <c r="AF7" s="16">
        <v>29</v>
      </c>
      <c r="AG7" s="16">
        <v>30</v>
      </c>
      <c r="AH7" s="16">
        <v>31</v>
      </c>
      <c r="AI7" s="16">
        <v>32</v>
      </c>
      <c r="AJ7" s="16">
        <v>33</v>
      </c>
      <c r="AK7" s="16">
        <v>34</v>
      </c>
      <c r="AL7" s="16">
        <v>35</v>
      </c>
      <c r="AM7" s="16">
        <v>36</v>
      </c>
      <c r="AN7" s="16">
        <v>37</v>
      </c>
      <c r="AO7" s="16">
        <v>38</v>
      </c>
      <c r="AP7" s="16">
        <v>39</v>
      </c>
      <c r="AQ7" s="16">
        <v>40</v>
      </c>
      <c r="AR7" s="16">
        <v>41</v>
      </c>
      <c r="AS7" s="16">
        <v>42</v>
      </c>
      <c r="AT7" s="16">
        <v>43</v>
      </c>
      <c r="AU7" s="16">
        <v>44</v>
      </c>
      <c r="AV7" s="16">
        <v>45</v>
      </c>
      <c r="AW7" s="16">
        <v>46</v>
      </c>
      <c r="AX7" s="16">
        <v>47</v>
      </c>
      <c r="AY7" s="16">
        <v>48</v>
      </c>
      <c r="AZ7" s="16">
        <v>49</v>
      </c>
      <c r="BA7" s="16">
        <v>50</v>
      </c>
      <c r="BB7" s="16">
        <v>51</v>
      </c>
      <c r="BC7" s="16">
        <v>52</v>
      </c>
      <c r="BD7" s="16">
        <v>53</v>
      </c>
      <c r="BE7" s="16">
        <v>54</v>
      </c>
      <c r="BF7" s="16">
        <v>55</v>
      </c>
      <c r="BG7" s="16">
        <v>56</v>
      </c>
      <c r="BH7" s="16">
        <v>57</v>
      </c>
      <c r="BI7" s="16">
        <v>58</v>
      </c>
      <c r="BJ7" s="16">
        <v>59</v>
      </c>
      <c r="BK7" s="16">
        <v>60</v>
      </c>
      <c r="BL7" s="16">
        <v>61</v>
      </c>
      <c r="BM7" s="16">
        <v>62</v>
      </c>
      <c r="BN7" s="16">
        <v>63</v>
      </c>
      <c r="BO7" s="16">
        <v>64</v>
      </c>
      <c r="BP7" s="16">
        <v>65</v>
      </c>
      <c r="BQ7" s="16">
        <v>66</v>
      </c>
      <c r="BR7" s="16">
        <v>67</v>
      </c>
      <c r="BS7" s="16">
        <v>68</v>
      </c>
      <c r="BT7" s="16">
        <v>69</v>
      </c>
      <c r="BU7" s="16">
        <v>70</v>
      </c>
      <c r="BV7" s="16">
        <v>71</v>
      </c>
      <c r="BW7" s="16">
        <v>72</v>
      </c>
      <c r="BX7" s="16">
        <v>73</v>
      </c>
      <c r="BY7" s="16">
        <v>74</v>
      </c>
      <c r="BZ7" s="16">
        <v>75</v>
      </c>
      <c r="CA7" s="16">
        <v>76</v>
      </c>
      <c r="CB7" s="16">
        <v>77</v>
      </c>
      <c r="CC7" s="16">
        <v>78</v>
      </c>
      <c r="CD7" s="16">
        <v>79</v>
      </c>
      <c r="CE7" s="16">
        <v>80</v>
      </c>
      <c r="CF7" s="16">
        <v>81</v>
      </c>
      <c r="CG7" s="16">
        <v>82</v>
      </c>
      <c r="CH7" s="16">
        <v>83</v>
      </c>
      <c r="CI7" s="16">
        <v>84</v>
      </c>
      <c r="CJ7" s="16">
        <v>85</v>
      </c>
      <c r="CK7" s="16">
        <v>86</v>
      </c>
      <c r="CL7" s="16">
        <v>87</v>
      </c>
      <c r="CM7" s="16">
        <v>88</v>
      </c>
      <c r="CN7" s="16">
        <v>89</v>
      </c>
      <c r="CO7" s="16">
        <v>90</v>
      </c>
      <c r="CP7" s="16">
        <v>91</v>
      </c>
      <c r="CQ7" s="16">
        <v>92</v>
      </c>
      <c r="CR7" s="16">
        <v>93</v>
      </c>
      <c r="CS7" s="16">
        <v>94</v>
      </c>
      <c r="CT7" s="16">
        <v>95</v>
      </c>
      <c r="CU7" s="16">
        <v>96</v>
      </c>
      <c r="CV7" s="16">
        <v>97</v>
      </c>
      <c r="CW7" s="16">
        <v>98</v>
      </c>
      <c r="CX7" s="16">
        <v>99</v>
      </c>
      <c r="CY7" s="16">
        <v>100</v>
      </c>
      <c r="CZ7" s="109">
        <f>CY7+1</f>
        <v>101</v>
      </c>
    </row>
    <row r="8" spans="1:104" x14ac:dyDescent="0.3">
      <c r="C8" s="243"/>
      <c r="D8" s="243"/>
      <c r="E8" s="243"/>
      <c r="F8" s="243"/>
      <c r="G8" s="243"/>
      <c r="H8" s="243"/>
      <c r="I8" s="243"/>
      <c r="J8" s="243"/>
      <c r="K8" s="243"/>
      <c r="L8" s="243"/>
      <c r="M8" s="243"/>
      <c r="N8" s="243"/>
      <c r="O8" s="243"/>
      <c r="P8" s="243"/>
      <c r="Q8" s="243"/>
      <c r="R8" s="243"/>
      <c r="S8" s="243"/>
      <c r="T8" s="243"/>
      <c r="U8" s="243"/>
      <c r="V8" s="243"/>
      <c r="W8" s="243"/>
      <c r="X8" s="243"/>
      <c r="Y8" s="243"/>
      <c r="Z8" s="243"/>
      <c r="AA8" s="243"/>
      <c r="AB8" s="243"/>
      <c r="AC8" s="243"/>
      <c r="AD8" s="243"/>
      <c r="AE8" s="243"/>
      <c r="AF8" s="243"/>
      <c r="AG8" s="243"/>
      <c r="AH8" s="243"/>
      <c r="AI8" s="243"/>
      <c r="AJ8" s="243"/>
      <c r="AK8" s="243"/>
      <c r="AL8" s="243"/>
      <c r="AM8" s="243"/>
      <c r="AN8" s="243"/>
      <c r="AO8" s="243"/>
      <c r="AP8" s="243"/>
      <c r="AQ8" s="243"/>
      <c r="AR8" s="243"/>
      <c r="AS8" s="243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3"/>
      <c r="BE8" s="243"/>
      <c r="BF8" s="243"/>
      <c r="BG8" s="243"/>
      <c r="BH8" s="243"/>
      <c r="BI8" s="243"/>
      <c r="BJ8" s="243"/>
      <c r="BK8" s="243"/>
      <c r="BL8" s="243"/>
      <c r="BM8" s="243"/>
      <c r="BN8" s="243"/>
      <c r="BO8" s="243"/>
      <c r="BP8" s="243"/>
      <c r="BQ8" s="243"/>
      <c r="BR8" s="243"/>
      <c r="BS8" s="243"/>
      <c r="BT8" s="243"/>
      <c r="BU8" s="243"/>
      <c r="BV8" s="243"/>
      <c r="BW8" s="243"/>
      <c r="BX8" s="243"/>
      <c r="BY8" s="243"/>
      <c r="BZ8" s="243"/>
      <c r="CA8" s="243"/>
      <c r="CB8" s="243"/>
      <c r="CC8" s="243"/>
      <c r="CD8" s="243"/>
      <c r="CE8" s="243"/>
      <c r="CF8" s="243"/>
      <c r="CG8" s="243"/>
      <c r="CH8" s="243"/>
      <c r="CI8" s="243"/>
      <c r="CJ8" s="243"/>
      <c r="CK8" s="243"/>
      <c r="CL8" s="243"/>
      <c r="CM8" s="243"/>
      <c r="CN8" s="243"/>
      <c r="CO8" s="243"/>
      <c r="CP8" s="243"/>
      <c r="CQ8" s="243"/>
      <c r="CR8" s="243"/>
      <c r="CS8" s="243"/>
      <c r="CT8" s="243"/>
      <c r="CU8" s="243"/>
      <c r="CV8" s="243"/>
      <c r="CW8" s="243"/>
      <c r="CX8" s="243"/>
      <c r="CY8" s="243"/>
      <c r="CZ8" s="243"/>
    </row>
    <row r="9" spans="1:104" x14ac:dyDescent="0.3">
      <c r="C9" s="161" t="s">
        <v>90</v>
      </c>
      <c r="D9" s="161">
        <f>D10</f>
        <v>0.3</v>
      </c>
      <c r="E9" s="161">
        <f>D9+E10</f>
        <v>0.5</v>
      </c>
      <c r="F9" s="161">
        <f>E9+F10</f>
        <v>1</v>
      </c>
      <c r="CZ9" s="8"/>
    </row>
    <row r="10" spans="1:104" x14ac:dyDescent="0.3">
      <c r="C10" s="162" t="s">
        <v>88</v>
      </c>
      <c r="D10" s="162">
        <v>0.3</v>
      </c>
      <c r="E10" s="162">
        <v>0.2</v>
      </c>
      <c r="F10" s="162">
        <v>0.5</v>
      </c>
      <c r="CZ10" s="8"/>
    </row>
    <row r="11" spans="1:104" x14ac:dyDescent="0.3">
      <c r="C11" s="163" t="s">
        <v>89</v>
      </c>
      <c r="D11" s="163">
        <v>0</v>
      </c>
      <c r="E11" s="163">
        <v>1</v>
      </c>
      <c r="F11" s="163">
        <v>2</v>
      </c>
      <c r="CZ11" s="8"/>
    </row>
    <row r="12" spans="1:104" x14ac:dyDescent="0.3">
      <c r="C12" s="108" t="s">
        <v>91</v>
      </c>
      <c r="D12" s="108" t="s">
        <v>87</v>
      </c>
      <c r="CZ12" s="8"/>
    </row>
    <row r="13" spans="1:104" x14ac:dyDescent="0.3">
      <c r="A13" s="12" t="s">
        <v>6</v>
      </c>
      <c r="C13" s="166">
        <f ca="1">RAND()</f>
        <v>1.3434691400104226E-2</v>
      </c>
      <c r="D13" s="108">
        <f ca="1">IF(C13&lt;$D$9,$D$11,HLOOKUP(C13,$D$9:$F$11,3,1)+1)</f>
        <v>0</v>
      </c>
    </row>
    <row r="14" spans="1:104" x14ac:dyDescent="0.3">
      <c r="A14" s="12" t="s">
        <v>4</v>
      </c>
      <c r="B14" s="164">
        <f ca="1">RAND()</f>
        <v>0.45110782796476134</v>
      </c>
      <c r="C14" s="166">
        <f t="shared" ref="C14:C16" ca="1" si="4">RAND()</f>
        <v>5.1383601671152301E-2</v>
      </c>
      <c r="D14" s="108">
        <f t="shared" ref="D14:D16" ca="1" si="5">IF(C14&lt;$D$9,$D$11,HLOOKUP(C14,$D$9:$F$11,3,1)+1)</f>
        <v>0</v>
      </c>
    </row>
    <row r="15" spans="1:104" x14ac:dyDescent="0.3">
      <c r="A15" s="12" t="s">
        <v>7</v>
      </c>
      <c r="B15" s="165">
        <f ca="1">IF(B14&lt;=$C$5,$C$7,HLOOKUP(B14,C5:CZ7,3,TRUE)+1)</f>
        <v>40</v>
      </c>
      <c r="C15" s="166">
        <f ca="1">RAND()</f>
        <v>0.1865322506167939</v>
      </c>
      <c r="D15" s="108">
        <f t="shared" ca="1" si="5"/>
        <v>0</v>
      </c>
    </row>
    <row r="16" spans="1:104" x14ac:dyDescent="0.3">
      <c r="A16" s="17"/>
      <c r="C16" s="166">
        <f t="shared" ca="1" si="4"/>
        <v>0.6634752271651666</v>
      </c>
      <c r="D16" s="108">
        <f t="shared" ca="1" si="5"/>
        <v>2</v>
      </c>
    </row>
    <row r="19" spans="1:12" ht="15.6" x14ac:dyDescent="0.3">
      <c r="A19" s="5" t="s">
        <v>60</v>
      </c>
      <c r="B19" s="126"/>
      <c r="K19" s="111"/>
      <c r="L19" s="111"/>
    </row>
    <row r="20" spans="1:12" ht="15.6" x14ac:dyDescent="0.3">
      <c r="A20" s="5" t="s">
        <v>61</v>
      </c>
      <c r="B20" s="127"/>
      <c r="K20" s="111"/>
      <c r="L20" s="111"/>
    </row>
    <row r="21" spans="1:12" ht="15.6" x14ac:dyDescent="0.3">
      <c r="A21" s="5" t="s">
        <v>62</v>
      </c>
      <c r="B21" s="128"/>
      <c r="K21" s="111"/>
      <c r="L21" s="111"/>
    </row>
    <row r="22" spans="1:12" ht="15.6" x14ac:dyDescent="0.3">
      <c r="A22" s="5"/>
      <c r="B22" s="4"/>
      <c r="I22" s="111"/>
      <c r="J22" s="111"/>
      <c r="K22" s="111"/>
      <c r="L22" s="111"/>
    </row>
    <row r="23" spans="1:12" ht="15.6" x14ac:dyDescent="0.3">
      <c r="A23" s="3"/>
      <c r="B23" s="9" t="s">
        <v>57</v>
      </c>
      <c r="C23" s="112" t="s">
        <v>58</v>
      </c>
      <c r="E23" s="111"/>
      <c r="F23" s="111"/>
      <c r="G23" s="111"/>
      <c r="H23" s="111"/>
      <c r="I23" s="111"/>
      <c r="J23" s="111"/>
      <c r="K23" s="111"/>
      <c r="L23" s="111"/>
    </row>
    <row r="24" spans="1:12" ht="15.6" x14ac:dyDescent="0.3">
      <c r="A24" s="5" t="s">
        <v>5</v>
      </c>
      <c r="B24" s="129">
        <f>'SINGOLO SINISTRO'!G6</f>
        <v>7.6742151915935475</v>
      </c>
      <c r="C24" s="129">
        <f>'SINGOLO SINISTRO'!H6</f>
        <v>0.36314798604932158</v>
      </c>
      <c r="F24" s="111"/>
      <c r="G24" s="111"/>
      <c r="H24" s="111"/>
      <c r="I24" s="111"/>
      <c r="J24" s="111"/>
      <c r="K24" s="111"/>
      <c r="L24" s="111"/>
    </row>
    <row r="25" spans="1:12" ht="15.6" x14ac:dyDescent="0.3">
      <c r="A25" s="3"/>
      <c r="B25" s="3"/>
      <c r="C25" s="111"/>
      <c r="D25" s="111"/>
      <c r="E25" s="111"/>
      <c r="F25" s="111"/>
      <c r="G25" s="111"/>
      <c r="H25" s="111" t="s">
        <v>92</v>
      </c>
      <c r="I25" s="111" t="s">
        <v>93</v>
      </c>
      <c r="J25" s="111"/>
      <c r="K25" s="111"/>
      <c r="L25" s="111"/>
    </row>
    <row r="26" spans="1:12" ht="15.6" x14ac:dyDescent="0.3">
      <c r="A26" s="3"/>
      <c r="D26" s="111"/>
      <c r="E26" s="113" t="s">
        <v>9</v>
      </c>
      <c r="F26" s="111"/>
      <c r="G26" s="114" t="s">
        <v>8</v>
      </c>
      <c r="H26" s="115">
        <f ca="1">SUM(E27:E126)</f>
        <v>93486.251040475996</v>
      </c>
      <c r="I26" s="118">
        <f ca="1">+'BIN.NEG.-LOGNORM'!H30</f>
        <v>93486.251040475996</v>
      </c>
      <c r="J26" s="111"/>
      <c r="K26" s="111"/>
      <c r="L26" s="111"/>
    </row>
    <row r="27" spans="1:12" ht="15.6" x14ac:dyDescent="0.3">
      <c r="A27" s="1" t="str">
        <f>+A14</f>
        <v>NUM.CASUALE [0,1]</v>
      </c>
      <c r="B27" s="130">
        <f ca="1">RAND()</f>
        <v>9.6508155341315849E-2</v>
      </c>
      <c r="C27" s="2">
        <v>1</v>
      </c>
      <c r="D27" s="128">
        <f ca="1">_xlfn.LOGNORM.INV(B27,$B$24,$C$24)</f>
        <v>1341.4449666240143</v>
      </c>
      <c r="E27" s="4">
        <f ca="1">IF(C27&lt;=$B$15,D27,0)</f>
        <v>1341.4449666240143</v>
      </c>
      <c r="F27" s="111"/>
      <c r="G27" s="111"/>
      <c r="H27" s="111"/>
      <c r="I27" s="111"/>
      <c r="J27" s="111"/>
      <c r="K27" s="111"/>
      <c r="L27" s="111"/>
    </row>
    <row r="28" spans="1:12" ht="15.6" x14ac:dyDescent="0.3">
      <c r="A28" s="1" t="str">
        <f>+A27</f>
        <v>NUM.CASUALE [0,1]</v>
      </c>
      <c r="B28" s="130">
        <f t="shared" ref="B28:B91" ca="1" si="6">RAND()</f>
        <v>0.86318683498171489</v>
      </c>
      <c r="C28" s="15">
        <f t="shared" ref="C28:C36" si="7">+C27+1</f>
        <v>2</v>
      </c>
      <c r="D28" s="128">
        <f t="shared" ref="D28:D91" ca="1" si="8">_xlfn.LOGNORM.INV(B28,$B$24,$C$24)</f>
        <v>3202.7699458697984</v>
      </c>
      <c r="E28" s="4">
        <f t="shared" ref="E28:E91" ca="1" si="9">IF(C28&lt;=$B$15,D28,0)</f>
        <v>3202.7699458697984</v>
      </c>
      <c r="F28" s="111"/>
    </row>
    <row r="29" spans="1:12" ht="15.6" x14ac:dyDescent="0.3">
      <c r="A29" s="1" t="str">
        <f t="shared" ref="A29:A36" si="10">+A28</f>
        <v>NUM.CASUALE [0,1]</v>
      </c>
      <c r="B29" s="130">
        <f t="shared" ca="1" si="6"/>
        <v>0.37729265909988385</v>
      </c>
      <c r="C29" s="15">
        <f t="shared" si="7"/>
        <v>3</v>
      </c>
      <c r="D29" s="128">
        <f t="shared" ca="1" si="8"/>
        <v>1921.1812012772205</v>
      </c>
      <c r="E29" s="4">
        <f t="shared" ca="1" si="9"/>
        <v>1921.1812012772205</v>
      </c>
      <c r="F29" s="111"/>
    </row>
    <row r="30" spans="1:12" ht="15.6" x14ac:dyDescent="0.3">
      <c r="A30" s="1" t="str">
        <f t="shared" si="10"/>
        <v>NUM.CASUALE [0,1]</v>
      </c>
      <c r="B30" s="130">
        <f t="shared" ca="1" si="6"/>
        <v>0.84574133789801487</v>
      </c>
      <c r="C30" s="15">
        <f t="shared" si="7"/>
        <v>4</v>
      </c>
      <c r="D30" s="128">
        <f t="shared" ca="1" si="8"/>
        <v>3115.1189270550922</v>
      </c>
      <c r="E30" s="4">
        <f t="shared" ca="1" si="9"/>
        <v>3115.1189270550922</v>
      </c>
      <c r="F30" s="111"/>
    </row>
    <row r="31" spans="1:12" ht="15.6" x14ac:dyDescent="0.3">
      <c r="A31" s="1" t="str">
        <f t="shared" si="10"/>
        <v>NUM.CASUALE [0,1]</v>
      </c>
      <c r="B31" s="130">
        <f t="shared" ca="1" si="6"/>
        <v>0.29179601362554619</v>
      </c>
      <c r="C31" s="15">
        <f t="shared" si="7"/>
        <v>5</v>
      </c>
      <c r="D31" s="128">
        <f t="shared" ca="1" si="8"/>
        <v>1763.6790425522383</v>
      </c>
      <c r="E31" s="4">
        <f t="shared" ca="1" si="9"/>
        <v>1763.6790425522383</v>
      </c>
      <c r="F31" s="111"/>
    </row>
    <row r="32" spans="1:12" ht="15.6" x14ac:dyDescent="0.3">
      <c r="A32" s="1" t="str">
        <f t="shared" si="10"/>
        <v>NUM.CASUALE [0,1]</v>
      </c>
      <c r="B32" s="130">
        <f t="shared" ca="1" si="6"/>
        <v>0.61267156783376631</v>
      </c>
      <c r="C32" s="15">
        <f t="shared" si="7"/>
        <v>6</v>
      </c>
      <c r="D32" s="128">
        <f t="shared" ca="1" si="8"/>
        <v>2387.925858588771</v>
      </c>
      <c r="E32" s="4">
        <f t="shared" ca="1" si="9"/>
        <v>2387.925858588771</v>
      </c>
      <c r="F32" s="111"/>
    </row>
    <row r="33" spans="1:6" ht="15.6" x14ac:dyDescent="0.3">
      <c r="A33" s="1" t="str">
        <f t="shared" si="10"/>
        <v>NUM.CASUALE [0,1]</v>
      </c>
      <c r="B33" s="130">
        <f t="shared" ca="1" si="6"/>
        <v>0.65950627237316362</v>
      </c>
      <c r="C33" s="15">
        <f t="shared" si="7"/>
        <v>7</v>
      </c>
      <c r="D33" s="128">
        <f t="shared" ca="1" si="8"/>
        <v>2498.6632065006816</v>
      </c>
      <c r="E33" s="4">
        <f t="shared" ca="1" si="9"/>
        <v>2498.6632065006816</v>
      </c>
      <c r="F33" s="111"/>
    </row>
    <row r="34" spans="1:6" ht="15.6" x14ac:dyDescent="0.3">
      <c r="A34" s="1" t="str">
        <f t="shared" si="10"/>
        <v>NUM.CASUALE [0,1]</v>
      </c>
      <c r="B34" s="130">
        <f t="shared" ca="1" si="6"/>
        <v>0.42371783657308759</v>
      </c>
      <c r="C34" s="15">
        <f t="shared" si="7"/>
        <v>8</v>
      </c>
      <c r="D34" s="128">
        <f t="shared" ca="1" si="8"/>
        <v>2006.9042967018479</v>
      </c>
      <c r="E34" s="4">
        <f t="shared" ca="1" si="9"/>
        <v>2006.9042967018479</v>
      </c>
      <c r="F34" s="111"/>
    </row>
    <row r="35" spans="1:6" ht="15.6" x14ac:dyDescent="0.3">
      <c r="A35" s="1" t="str">
        <f t="shared" si="10"/>
        <v>NUM.CASUALE [0,1]</v>
      </c>
      <c r="B35" s="130">
        <f t="shared" ca="1" si="6"/>
        <v>0.5148793242895211</v>
      </c>
      <c r="C35" s="15">
        <f t="shared" si="7"/>
        <v>9</v>
      </c>
      <c r="D35" s="128">
        <f t="shared" ca="1" si="8"/>
        <v>2181.4883236412493</v>
      </c>
      <c r="E35" s="4">
        <f t="shared" ca="1" si="9"/>
        <v>2181.4883236412493</v>
      </c>
      <c r="F35" s="111"/>
    </row>
    <row r="36" spans="1:6" ht="15.6" x14ac:dyDescent="0.3">
      <c r="A36" s="1" t="str">
        <f t="shared" si="10"/>
        <v>NUM.CASUALE [0,1]</v>
      </c>
      <c r="B36" s="130">
        <f t="shared" ca="1" si="6"/>
        <v>0.51319858646637384</v>
      </c>
      <c r="C36" s="15">
        <f t="shared" si="7"/>
        <v>10</v>
      </c>
      <c r="D36" s="128">
        <f t="shared" ca="1" si="8"/>
        <v>2178.1512683950282</v>
      </c>
      <c r="E36" s="4">
        <f t="shared" ca="1" si="9"/>
        <v>2178.1512683950282</v>
      </c>
      <c r="F36" s="111"/>
    </row>
    <row r="37" spans="1:6" ht="15.6" x14ac:dyDescent="0.3">
      <c r="A37" s="1" t="str">
        <f t="shared" ref="A37:A100" si="11">+A36</f>
        <v>NUM.CASUALE [0,1]</v>
      </c>
      <c r="B37" s="130">
        <f t="shared" ca="1" si="6"/>
        <v>0.96948815348208783</v>
      </c>
      <c r="C37" s="15">
        <f t="shared" ref="C37:C100" si="12">+C36+1</f>
        <v>11</v>
      </c>
      <c r="D37" s="128">
        <f t="shared" ca="1" si="8"/>
        <v>4249.297424570871</v>
      </c>
      <c r="E37" s="4">
        <f t="shared" ca="1" si="9"/>
        <v>4249.297424570871</v>
      </c>
    </row>
    <row r="38" spans="1:6" ht="15.6" x14ac:dyDescent="0.3">
      <c r="A38" s="1" t="str">
        <f t="shared" si="11"/>
        <v>NUM.CASUALE [0,1]</v>
      </c>
      <c r="B38" s="130">
        <f t="shared" ca="1" si="6"/>
        <v>0.91812572267733217</v>
      </c>
      <c r="C38" s="15">
        <f t="shared" si="12"/>
        <v>12</v>
      </c>
      <c r="D38" s="128">
        <f t="shared" ca="1" si="8"/>
        <v>3568.5896810454624</v>
      </c>
      <c r="E38" s="4">
        <f t="shared" ca="1" si="9"/>
        <v>3568.5896810454624</v>
      </c>
    </row>
    <row r="39" spans="1:6" ht="15.6" x14ac:dyDescent="0.3">
      <c r="A39" s="1" t="str">
        <f t="shared" si="11"/>
        <v>NUM.CASUALE [0,1]</v>
      </c>
      <c r="B39" s="130">
        <f t="shared" ca="1" si="6"/>
        <v>0.86755910973950601</v>
      </c>
      <c r="C39" s="15">
        <f t="shared" si="12"/>
        <v>13</v>
      </c>
      <c r="D39" s="128">
        <f t="shared" ca="1" si="8"/>
        <v>3226.3237901684411</v>
      </c>
      <c r="E39" s="4">
        <f t="shared" ca="1" si="9"/>
        <v>3226.3237901684411</v>
      </c>
    </row>
    <row r="40" spans="1:6" ht="15.6" x14ac:dyDescent="0.3">
      <c r="A40" s="1" t="str">
        <f t="shared" si="11"/>
        <v>NUM.CASUALE [0,1]</v>
      </c>
      <c r="B40" s="130">
        <f t="shared" ca="1" si="6"/>
        <v>0.42272343843316962</v>
      </c>
      <c r="C40" s="15">
        <f t="shared" si="12"/>
        <v>14</v>
      </c>
      <c r="D40" s="128">
        <f t="shared" ca="1" si="8"/>
        <v>2005.0541574110182</v>
      </c>
      <c r="E40" s="4">
        <f t="shared" ca="1" si="9"/>
        <v>2005.0541574110182</v>
      </c>
    </row>
    <row r="41" spans="1:6" ht="15.6" x14ac:dyDescent="0.3">
      <c r="A41" s="1" t="str">
        <f t="shared" si="11"/>
        <v>NUM.CASUALE [0,1]</v>
      </c>
      <c r="B41" s="130">
        <f t="shared" ca="1" si="6"/>
        <v>0.14694298350706791</v>
      </c>
      <c r="C41" s="15">
        <f t="shared" si="12"/>
        <v>15</v>
      </c>
      <c r="D41" s="128">
        <f t="shared" ca="1" si="8"/>
        <v>1470.0362828589432</v>
      </c>
      <c r="E41" s="4">
        <f t="shared" ca="1" si="9"/>
        <v>1470.0362828589432</v>
      </c>
    </row>
    <row r="42" spans="1:6" ht="15.6" x14ac:dyDescent="0.3">
      <c r="A42" s="1" t="str">
        <f t="shared" si="11"/>
        <v>NUM.CASUALE [0,1]</v>
      </c>
      <c r="B42" s="130">
        <f t="shared" ca="1" si="6"/>
        <v>0.15180840482621316</v>
      </c>
      <c r="C42" s="15">
        <f t="shared" si="12"/>
        <v>16</v>
      </c>
      <c r="D42" s="128">
        <f t="shared" ca="1" si="8"/>
        <v>1481.2504016165105</v>
      </c>
      <c r="E42" s="4">
        <f t="shared" ca="1" si="9"/>
        <v>1481.2504016165105</v>
      </c>
    </row>
    <row r="43" spans="1:6" ht="15.6" x14ac:dyDescent="0.3">
      <c r="A43" s="1" t="str">
        <f t="shared" si="11"/>
        <v>NUM.CASUALE [0,1]</v>
      </c>
      <c r="B43" s="130">
        <f t="shared" ca="1" si="6"/>
        <v>0.39530394958445192</v>
      </c>
      <c r="C43" s="15">
        <f t="shared" si="12"/>
        <v>17</v>
      </c>
      <c r="D43" s="128">
        <f t="shared" ca="1" si="8"/>
        <v>1954.3084272708884</v>
      </c>
      <c r="E43" s="4">
        <f t="shared" ca="1" si="9"/>
        <v>1954.3084272708884</v>
      </c>
    </row>
    <row r="44" spans="1:6" ht="15.6" x14ac:dyDescent="0.3">
      <c r="A44" s="1" t="str">
        <f t="shared" si="11"/>
        <v>NUM.CASUALE [0,1]</v>
      </c>
      <c r="B44" s="130">
        <f t="shared" ca="1" si="6"/>
        <v>0.44564147773113749</v>
      </c>
      <c r="C44" s="15">
        <f t="shared" si="12"/>
        <v>18</v>
      </c>
      <c r="D44" s="128">
        <f t="shared" ca="1" si="8"/>
        <v>2047.9196765773479</v>
      </c>
      <c r="E44" s="4">
        <f t="shared" ca="1" si="9"/>
        <v>2047.9196765773479</v>
      </c>
    </row>
    <row r="45" spans="1:6" ht="15.6" x14ac:dyDescent="0.3">
      <c r="A45" s="1" t="str">
        <f t="shared" si="11"/>
        <v>NUM.CASUALE [0,1]</v>
      </c>
      <c r="B45" s="130">
        <f t="shared" ca="1" si="6"/>
        <v>0.82987207549141917</v>
      </c>
      <c r="C45" s="15">
        <f t="shared" si="12"/>
        <v>19</v>
      </c>
      <c r="D45" s="128">
        <f t="shared" ca="1" si="8"/>
        <v>3042.8043296746996</v>
      </c>
      <c r="E45" s="4">
        <f t="shared" ca="1" si="9"/>
        <v>3042.8043296746996</v>
      </c>
    </row>
    <row r="46" spans="1:6" ht="15.6" x14ac:dyDescent="0.3">
      <c r="A46" s="1" t="str">
        <f t="shared" si="11"/>
        <v>NUM.CASUALE [0,1]</v>
      </c>
      <c r="B46" s="130">
        <f t="shared" ca="1" si="6"/>
        <v>0.59778907193709419</v>
      </c>
      <c r="C46" s="15">
        <f t="shared" si="12"/>
        <v>20</v>
      </c>
      <c r="D46" s="128">
        <f t="shared" ca="1" si="8"/>
        <v>2354.6349488436613</v>
      </c>
      <c r="E46" s="4">
        <f t="shared" ca="1" si="9"/>
        <v>2354.6349488436613</v>
      </c>
    </row>
    <row r="47" spans="1:6" ht="15.6" x14ac:dyDescent="0.3">
      <c r="A47" s="1" t="str">
        <f t="shared" si="11"/>
        <v>NUM.CASUALE [0,1]</v>
      </c>
      <c r="B47" s="130">
        <f t="shared" ca="1" si="6"/>
        <v>0.65047058013582404</v>
      </c>
      <c r="C47" s="15">
        <f t="shared" si="12"/>
        <v>21</v>
      </c>
      <c r="D47" s="128">
        <f t="shared" ca="1" si="8"/>
        <v>2476.5085983294689</v>
      </c>
      <c r="E47" s="4">
        <f t="shared" ca="1" si="9"/>
        <v>2476.5085983294689</v>
      </c>
    </row>
    <row r="48" spans="1:6" ht="15.6" x14ac:dyDescent="0.3">
      <c r="A48" s="1" t="str">
        <f t="shared" si="11"/>
        <v>NUM.CASUALE [0,1]</v>
      </c>
      <c r="B48" s="130">
        <f t="shared" ca="1" si="6"/>
        <v>0.48964371948790386</v>
      </c>
      <c r="C48" s="15">
        <f t="shared" si="12"/>
        <v>22</v>
      </c>
      <c r="D48" s="128">
        <f t="shared" ca="1" si="8"/>
        <v>2131.938734028176</v>
      </c>
      <c r="E48" s="4">
        <f t="shared" ca="1" si="9"/>
        <v>2131.938734028176</v>
      </c>
    </row>
    <row r="49" spans="1:5" ht="15.6" x14ac:dyDescent="0.3">
      <c r="A49" s="1" t="str">
        <f t="shared" si="11"/>
        <v>NUM.CASUALE [0,1]</v>
      </c>
      <c r="B49" s="130">
        <f t="shared" ca="1" si="6"/>
        <v>0.87390877870457262</v>
      </c>
      <c r="C49" s="15">
        <f t="shared" si="12"/>
        <v>23</v>
      </c>
      <c r="D49" s="128">
        <f t="shared" ca="1" si="8"/>
        <v>3261.8280089661876</v>
      </c>
      <c r="E49" s="4">
        <f t="shared" ca="1" si="9"/>
        <v>3261.8280089661876</v>
      </c>
    </row>
    <row r="50" spans="1:5" ht="15.6" x14ac:dyDescent="0.3">
      <c r="A50" s="1" t="str">
        <f t="shared" si="11"/>
        <v>NUM.CASUALE [0,1]</v>
      </c>
      <c r="B50" s="130">
        <f t="shared" ca="1" si="6"/>
        <v>4.5701669359529351E-2</v>
      </c>
      <c r="C50" s="15">
        <f t="shared" si="12"/>
        <v>24</v>
      </c>
      <c r="D50" s="128">
        <f t="shared" ca="1" si="8"/>
        <v>1165.8508748080405</v>
      </c>
      <c r="E50" s="4">
        <f t="shared" ca="1" si="9"/>
        <v>1165.8508748080405</v>
      </c>
    </row>
    <row r="51" spans="1:5" ht="15.6" x14ac:dyDescent="0.3">
      <c r="A51" s="1" t="str">
        <f t="shared" si="11"/>
        <v>NUM.CASUALE [0,1]</v>
      </c>
      <c r="B51" s="130">
        <f t="shared" ca="1" si="6"/>
        <v>0.70780752236232058</v>
      </c>
      <c r="C51" s="15">
        <f t="shared" si="12"/>
        <v>25</v>
      </c>
      <c r="D51" s="128">
        <f t="shared" ca="1" si="8"/>
        <v>2625.0463985215265</v>
      </c>
      <c r="E51" s="4">
        <f t="shared" ca="1" si="9"/>
        <v>2625.0463985215265</v>
      </c>
    </row>
    <row r="52" spans="1:5" ht="15.6" x14ac:dyDescent="0.3">
      <c r="A52" s="1" t="str">
        <f t="shared" si="11"/>
        <v>NUM.CASUALE [0,1]</v>
      </c>
      <c r="B52" s="130">
        <f t="shared" ca="1" si="6"/>
        <v>0.2495011258663633</v>
      </c>
      <c r="C52" s="15">
        <f t="shared" si="12"/>
        <v>26</v>
      </c>
      <c r="D52" s="128">
        <f t="shared" ca="1" si="8"/>
        <v>1683.626189911754</v>
      </c>
      <c r="E52" s="4">
        <f t="shared" ca="1" si="9"/>
        <v>1683.626189911754</v>
      </c>
    </row>
    <row r="53" spans="1:5" ht="15.6" x14ac:dyDescent="0.3">
      <c r="A53" s="1" t="str">
        <f t="shared" si="11"/>
        <v>NUM.CASUALE [0,1]</v>
      </c>
      <c r="B53" s="130">
        <f t="shared" ca="1" si="6"/>
        <v>0.9684487917167649</v>
      </c>
      <c r="C53" s="15">
        <f t="shared" si="12"/>
        <v>27</v>
      </c>
      <c r="D53" s="128">
        <f t="shared" ca="1" si="8"/>
        <v>4226.4367042045351</v>
      </c>
      <c r="E53" s="4">
        <f t="shared" ca="1" si="9"/>
        <v>4226.4367042045351</v>
      </c>
    </row>
    <row r="54" spans="1:5" ht="15.6" x14ac:dyDescent="0.3">
      <c r="A54" s="1" t="str">
        <f t="shared" si="11"/>
        <v>NUM.CASUALE [0,1]</v>
      </c>
      <c r="B54" s="130">
        <f t="shared" ca="1" si="6"/>
        <v>0.29397505377269251</v>
      </c>
      <c r="C54" s="15">
        <f t="shared" si="12"/>
        <v>28</v>
      </c>
      <c r="D54" s="128">
        <f t="shared" ca="1" si="8"/>
        <v>1767.7420854501611</v>
      </c>
      <c r="E54" s="4">
        <f t="shared" ca="1" si="9"/>
        <v>1767.7420854501611</v>
      </c>
    </row>
    <row r="55" spans="1:5" ht="15.6" x14ac:dyDescent="0.3">
      <c r="A55" s="1" t="str">
        <f t="shared" si="11"/>
        <v>NUM.CASUALE [0,1]</v>
      </c>
      <c r="B55" s="130">
        <f t="shared" ca="1" si="6"/>
        <v>0.79782812436159289</v>
      </c>
      <c r="C55" s="15">
        <f t="shared" si="12"/>
        <v>29</v>
      </c>
      <c r="D55" s="128">
        <f t="shared" ca="1" si="8"/>
        <v>2913.295413901496</v>
      </c>
      <c r="E55" s="4">
        <f t="shared" ca="1" si="9"/>
        <v>2913.295413901496</v>
      </c>
    </row>
    <row r="56" spans="1:5" ht="15.6" x14ac:dyDescent="0.3">
      <c r="A56" s="1" t="str">
        <f t="shared" si="11"/>
        <v>NUM.CASUALE [0,1]</v>
      </c>
      <c r="B56" s="130">
        <f t="shared" ca="1" si="6"/>
        <v>0.88341352187437427</v>
      </c>
      <c r="C56" s="15">
        <f t="shared" si="12"/>
        <v>30</v>
      </c>
      <c r="D56" s="128">
        <f t="shared" ca="1" si="8"/>
        <v>3318.1722082232632</v>
      </c>
      <c r="E56" s="4">
        <f t="shared" ca="1" si="9"/>
        <v>3318.1722082232632</v>
      </c>
    </row>
    <row r="57" spans="1:5" ht="15.6" x14ac:dyDescent="0.3">
      <c r="A57" s="1" t="str">
        <f t="shared" si="11"/>
        <v>NUM.CASUALE [0,1]</v>
      </c>
      <c r="B57" s="130">
        <f t="shared" ca="1" si="6"/>
        <v>0.14861473000435921</v>
      </c>
      <c r="C57" s="15">
        <f t="shared" si="12"/>
        <v>31</v>
      </c>
      <c r="D57" s="128">
        <f t="shared" ca="1" si="8"/>
        <v>1473.9073776549956</v>
      </c>
      <c r="E57" s="4">
        <f t="shared" ca="1" si="9"/>
        <v>1473.9073776549956</v>
      </c>
    </row>
    <row r="58" spans="1:5" ht="15.6" x14ac:dyDescent="0.3">
      <c r="A58" s="1" t="str">
        <f t="shared" si="11"/>
        <v>NUM.CASUALE [0,1]</v>
      </c>
      <c r="B58" s="130">
        <f t="shared" ca="1" si="6"/>
        <v>0.43879485756956405</v>
      </c>
      <c r="C58" s="15">
        <f t="shared" si="12"/>
        <v>32</v>
      </c>
      <c r="D58" s="128">
        <f t="shared" ca="1" si="8"/>
        <v>2035.0612199829866</v>
      </c>
      <c r="E58" s="4">
        <f t="shared" ca="1" si="9"/>
        <v>2035.0612199829866</v>
      </c>
    </row>
    <row r="59" spans="1:5" ht="15.6" x14ac:dyDescent="0.3">
      <c r="A59" s="1" t="str">
        <f t="shared" si="11"/>
        <v>NUM.CASUALE [0,1]</v>
      </c>
      <c r="B59" s="130">
        <f t="shared" ca="1" si="6"/>
        <v>0.43715499885861275</v>
      </c>
      <c r="C59" s="15">
        <f t="shared" si="12"/>
        <v>33</v>
      </c>
      <c r="D59" s="128">
        <f t="shared" ca="1" si="8"/>
        <v>2031.9885113231892</v>
      </c>
      <c r="E59" s="4">
        <f t="shared" ca="1" si="9"/>
        <v>2031.9885113231892</v>
      </c>
    </row>
    <row r="60" spans="1:5" ht="15.6" x14ac:dyDescent="0.3">
      <c r="A60" s="1" t="str">
        <f t="shared" si="11"/>
        <v>NUM.CASUALE [0,1]</v>
      </c>
      <c r="B60" s="130">
        <f t="shared" ca="1" si="6"/>
        <v>0.646939652945976</v>
      </c>
      <c r="C60" s="15">
        <f t="shared" si="12"/>
        <v>34</v>
      </c>
      <c r="D60" s="128">
        <f t="shared" ca="1" si="8"/>
        <v>2467.9616303827975</v>
      </c>
      <c r="E60" s="4">
        <f t="shared" ca="1" si="9"/>
        <v>2467.9616303827975</v>
      </c>
    </row>
    <row r="61" spans="1:5" ht="15.6" x14ac:dyDescent="0.3">
      <c r="A61" s="1" t="str">
        <f t="shared" si="11"/>
        <v>NUM.CASUALE [0,1]</v>
      </c>
      <c r="B61" s="130">
        <f t="shared" ca="1" si="6"/>
        <v>0.47643964668540928</v>
      </c>
      <c r="C61" s="15">
        <f t="shared" si="12"/>
        <v>35</v>
      </c>
      <c r="D61" s="128">
        <f t="shared" ca="1" si="8"/>
        <v>2106.4435052346771</v>
      </c>
      <c r="E61" s="4">
        <f t="shared" ca="1" si="9"/>
        <v>2106.4435052346771</v>
      </c>
    </row>
    <row r="62" spans="1:5" ht="15.6" x14ac:dyDescent="0.3">
      <c r="A62" s="1" t="str">
        <f t="shared" si="11"/>
        <v>NUM.CASUALE [0,1]</v>
      </c>
      <c r="B62" s="130">
        <f t="shared" ca="1" si="6"/>
        <v>0.61621001660918784</v>
      </c>
      <c r="C62" s="15">
        <f t="shared" si="12"/>
        <v>36</v>
      </c>
      <c r="D62" s="128">
        <f t="shared" ca="1" si="8"/>
        <v>2395.9632692799833</v>
      </c>
      <c r="E62" s="4">
        <f t="shared" ca="1" si="9"/>
        <v>2395.9632692799833</v>
      </c>
    </row>
    <row r="63" spans="1:5" ht="15.6" x14ac:dyDescent="0.3">
      <c r="A63" s="1" t="str">
        <f t="shared" si="11"/>
        <v>NUM.CASUALE [0,1]</v>
      </c>
      <c r="B63" s="130">
        <f t="shared" ca="1" si="6"/>
        <v>0.22275888621984408</v>
      </c>
      <c r="C63" s="15">
        <f t="shared" si="12"/>
        <v>37</v>
      </c>
      <c r="D63" s="128">
        <f t="shared" ca="1" si="8"/>
        <v>1631.3552467212428</v>
      </c>
      <c r="E63" s="4">
        <f t="shared" ca="1" si="9"/>
        <v>1631.3552467212428</v>
      </c>
    </row>
    <row r="64" spans="1:5" ht="15.6" x14ac:dyDescent="0.3">
      <c r="A64" s="1" t="str">
        <f t="shared" si="11"/>
        <v>NUM.CASUALE [0,1]</v>
      </c>
      <c r="B64" s="130">
        <f t="shared" ca="1" si="6"/>
        <v>0.5679798923110625</v>
      </c>
      <c r="C64" s="15">
        <f t="shared" si="12"/>
        <v>38</v>
      </c>
      <c r="D64" s="128">
        <f t="shared" ca="1" si="8"/>
        <v>2290.2087968428623</v>
      </c>
      <c r="E64" s="4">
        <f t="shared" ca="1" si="9"/>
        <v>2290.2087968428623</v>
      </c>
    </row>
    <row r="65" spans="1:5" ht="15.6" x14ac:dyDescent="0.3">
      <c r="A65" s="1" t="str">
        <f t="shared" si="11"/>
        <v>NUM.CASUALE [0,1]</v>
      </c>
      <c r="B65" s="130">
        <f t="shared" ca="1" si="6"/>
        <v>0.3669329110358539</v>
      </c>
      <c r="C65" s="15">
        <f t="shared" si="12"/>
        <v>39</v>
      </c>
      <c r="D65" s="128">
        <f t="shared" ca="1" si="8"/>
        <v>1902.1676022092056</v>
      </c>
      <c r="E65" s="4">
        <f t="shared" ca="1" si="9"/>
        <v>1902.1676022092056</v>
      </c>
    </row>
    <row r="66" spans="1:5" ht="15.6" x14ac:dyDescent="0.3">
      <c r="A66" s="1" t="str">
        <f t="shared" si="11"/>
        <v>NUM.CASUALE [0,1]</v>
      </c>
      <c r="B66" s="130">
        <f t="shared" ca="1" si="6"/>
        <v>0.19894000194523531</v>
      </c>
      <c r="C66" s="15">
        <f t="shared" si="12"/>
        <v>40</v>
      </c>
      <c r="D66" s="128">
        <f t="shared" ca="1" si="8"/>
        <v>1583.2025072556924</v>
      </c>
      <c r="E66" s="4">
        <f t="shared" ca="1" si="9"/>
        <v>1583.2025072556924</v>
      </c>
    </row>
    <row r="67" spans="1:5" ht="15.6" x14ac:dyDescent="0.3">
      <c r="A67" s="1" t="str">
        <f t="shared" si="11"/>
        <v>NUM.CASUALE [0,1]</v>
      </c>
      <c r="B67" s="130">
        <f t="shared" ca="1" si="6"/>
        <v>0.36196778795733553</v>
      </c>
      <c r="C67" s="15">
        <f t="shared" si="12"/>
        <v>41</v>
      </c>
      <c r="D67" s="128">
        <f t="shared" ca="1" si="8"/>
        <v>1893.0601063005133</v>
      </c>
      <c r="E67" s="4">
        <f t="shared" ca="1" si="9"/>
        <v>0</v>
      </c>
    </row>
    <row r="68" spans="1:5" ht="15.6" x14ac:dyDescent="0.3">
      <c r="A68" s="1" t="str">
        <f t="shared" si="11"/>
        <v>NUM.CASUALE [0,1]</v>
      </c>
      <c r="B68" s="130">
        <f t="shared" ca="1" si="6"/>
        <v>0.88553825457571755</v>
      </c>
      <c r="C68" s="15">
        <f t="shared" si="12"/>
        <v>42</v>
      </c>
      <c r="D68" s="128">
        <f t="shared" ca="1" si="8"/>
        <v>3331.3463139859596</v>
      </c>
      <c r="E68" s="4">
        <f t="shared" ca="1" si="9"/>
        <v>0</v>
      </c>
    </row>
    <row r="69" spans="1:5" ht="15.6" x14ac:dyDescent="0.3">
      <c r="A69" s="1" t="str">
        <f t="shared" si="11"/>
        <v>NUM.CASUALE [0,1]</v>
      </c>
      <c r="B69" s="130">
        <f t="shared" ca="1" si="6"/>
        <v>0.16988436765004322</v>
      </c>
      <c r="C69" s="15">
        <f t="shared" si="12"/>
        <v>43</v>
      </c>
      <c r="D69" s="128">
        <f t="shared" ca="1" si="8"/>
        <v>1521.6431132704577</v>
      </c>
      <c r="E69" s="4">
        <f t="shared" ca="1" si="9"/>
        <v>0</v>
      </c>
    </row>
    <row r="70" spans="1:5" ht="15.6" x14ac:dyDescent="0.3">
      <c r="A70" s="1" t="str">
        <f t="shared" si="11"/>
        <v>NUM.CASUALE [0,1]</v>
      </c>
      <c r="B70" s="130">
        <f t="shared" ca="1" si="6"/>
        <v>0.39064096957611028</v>
      </c>
      <c r="C70" s="15">
        <f t="shared" si="12"/>
        <v>44</v>
      </c>
      <c r="D70" s="128">
        <f t="shared" ca="1" si="8"/>
        <v>1945.7204050987764</v>
      </c>
      <c r="E70" s="4">
        <f t="shared" ca="1" si="9"/>
        <v>0</v>
      </c>
    </row>
    <row r="71" spans="1:5" ht="15.6" x14ac:dyDescent="0.3">
      <c r="A71" s="1" t="str">
        <f t="shared" si="11"/>
        <v>NUM.CASUALE [0,1]</v>
      </c>
      <c r="B71" s="130">
        <f t="shared" ca="1" si="6"/>
        <v>0.76660891440819079</v>
      </c>
      <c r="C71" s="15">
        <f t="shared" si="12"/>
        <v>45</v>
      </c>
      <c r="D71" s="128">
        <f t="shared" ca="1" si="8"/>
        <v>2803.115972378298</v>
      </c>
      <c r="E71" s="4">
        <f t="shared" ca="1" si="9"/>
        <v>0</v>
      </c>
    </row>
    <row r="72" spans="1:5" ht="15.6" x14ac:dyDescent="0.3">
      <c r="A72" s="1" t="str">
        <f t="shared" si="11"/>
        <v>NUM.CASUALE [0,1]</v>
      </c>
      <c r="B72" s="130">
        <f t="shared" ca="1" si="6"/>
        <v>0.8866490288527511</v>
      </c>
      <c r="C72" s="15">
        <f t="shared" si="12"/>
        <v>46</v>
      </c>
      <c r="D72" s="128">
        <f t="shared" ca="1" si="8"/>
        <v>3338.3239642232602</v>
      </c>
      <c r="E72" s="4">
        <f t="shared" ca="1" si="9"/>
        <v>0</v>
      </c>
    </row>
    <row r="73" spans="1:5" ht="15.6" x14ac:dyDescent="0.3">
      <c r="A73" s="1" t="str">
        <f t="shared" si="11"/>
        <v>NUM.CASUALE [0,1]</v>
      </c>
      <c r="B73" s="130">
        <f t="shared" ca="1" si="6"/>
        <v>0.17352033164420355</v>
      </c>
      <c r="C73" s="15">
        <f t="shared" si="12"/>
        <v>47</v>
      </c>
      <c r="D73" s="128">
        <f t="shared" ca="1" si="8"/>
        <v>1529.5530176072548</v>
      </c>
      <c r="E73" s="4">
        <f t="shared" ca="1" si="9"/>
        <v>0</v>
      </c>
    </row>
    <row r="74" spans="1:5" ht="15.6" x14ac:dyDescent="0.3">
      <c r="A74" s="1" t="str">
        <f t="shared" si="11"/>
        <v>NUM.CASUALE [0,1]</v>
      </c>
      <c r="B74" s="130">
        <f t="shared" ca="1" si="6"/>
        <v>0.58065732206284126</v>
      </c>
      <c r="C74" s="15">
        <f t="shared" si="12"/>
        <v>48</v>
      </c>
      <c r="D74" s="128">
        <f t="shared" ca="1" si="8"/>
        <v>2317.2656507576248</v>
      </c>
      <c r="E74" s="4">
        <f t="shared" ca="1" si="9"/>
        <v>0</v>
      </c>
    </row>
    <row r="75" spans="1:5" ht="15.6" x14ac:dyDescent="0.3">
      <c r="A75" s="1" t="str">
        <f t="shared" si="11"/>
        <v>NUM.CASUALE [0,1]</v>
      </c>
      <c r="B75" s="130">
        <f t="shared" ca="1" si="6"/>
        <v>0.57981692152111775</v>
      </c>
      <c r="C75" s="15">
        <f t="shared" si="12"/>
        <v>49</v>
      </c>
      <c r="D75" s="128">
        <f t="shared" ca="1" si="8"/>
        <v>2315.4569335480833</v>
      </c>
      <c r="E75" s="4">
        <f t="shared" ca="1" si="9"/>
        <v>0</v>
      </c>
    </row>
    <row r="76" spans="1:5" ht="15.6" x14ac:dyDescent="0.3">
      <c r="A76" s="1" t="str">
        <f t="shared" si="11"/>
        <v>NUM.CASUALE [0,1]</v>
      </c>
      <c r="B76" s="130">
        <f t="shared" ca="1" si="6"/>
        <v>0.52200575715848485</v>
      </c>
      <c r="C76" s="15">
        <f t="shared" si="12"/>
        <v>50</v>
      </c>
      <c r="D76" s="128">
        <f t="shared" ca="1" si="8"/>
        <v>2195.701128680646</v>
      </c>
      <c r="E76" s="4">
        <f t="shared" ca="1" si="9"/>
        <v>0</v>
      </c>
    </row>
    <row r="77" spans="1:5" ht="15.6" x14ac:dyDescent="0.3">
      <c r="A77" s="1" t="str">
        <f t="shared" si="11"/>
        <v>NUM.CASUALE [0,1]</v>
      </c>
      <c r="B77" s="130">
        <f t="shared" ca="1" si="6"/>
        <v>0.22729395425352994</v>
      </c>
      <c r="C77" s="15">
        <f t="shared" si="12"/>
        <v>51</v>
      </c>
      <c r="D77" s="128">
        <f t="shared" ca="1" si="8"/>
        <v>1640.3376855193171</v>
      </c>
      <c r="E77" s="4">
        <f t="shared" ca="1" si="9"/>
        <v>0</v>
      </c>
    </row>
    <row r="78" spans="1:5" ht="15.6" x14ac:dyDescent="0.3">
      <c r="A78" s="1" t="str">
        <f t="shared" si="11"/>
        <v>NUM.CASUALE [0,1]</v>
      </c>
      <c r="B78" s="130">
        <f t="shared" ca="1" si="6"/>
        <v>0.81114647722859667</v>
      </c>
      <c r="C78" s="15">
        <f t="shared" si="12"/>
        <v>52</v>
      </c>
      <c r="D78" s="128">
        <f t="shared" ca="1" si="8"/>
        <v>2964.7813507380151</v>
      </c>
      <c r="E78" s="4">
        <f t="shared" ca="1" si="9"/>
        <v>0</v>
      </c>
    </row>
    <row r="79" spans="1:5" ht="15.6" x14ac:dyDescent="0.3">
      <c r="A79" s="1" t="str">
        <f t="shared" si="11"/>
        <v>NUM.CASUALE [0,1]</v>
      </c>
      <c r="B79" s="130">
        <f t="shared" ca="1" si="6"/>
        <v>0.53411040729958414</v>
      </c>
      <c r="C79" s="15">
        <f t="shared" si="12"/>
        <v>53</v>
      </c>
      <c r="D79" s="128">
        <f t="shared" ca="1" si="8"/>
        <v>2220.0900576956733</v>
      </c>
      <c r="E79" s="4">
        <f t="shared" ca="1" si="9"/>
        <v>0</v>
      </c>
    </row>
    <row r="80" spans="1:5" ht="15.6" x14ac:dyDescent="0.3">
      <c r="A80" s="1" t="str">
        <f t="shared" si="11"/>
        <v>NUM.CASUALE [0,1]</v>
      </c>
      <c r="B80" s="130">
        <f t="shared" ca="1" si="6"/>
        <v>0.80290854524294297</v>
      </c>
      <c r="C80" s="15">
        <f t="shared" si="12"/>
        <v>54</v>
      </c>
      <c r="D80" s="128">
        <f t="shared" ca="1" si="8"/>
        <v>2932.5794664187488</v>
      </c>
      <c r="E80" s="4">
        <f t="shared" ca="1" si="9"/>
        <v>0</v>
      </c>
    </row>
    <row r="81" spans="1:5" ht="15.6" x14ac:dyDescent="0.3">
      <c r="A81" s="1" t="str">
        <f t="shared" si="11"/>
        <v>NUM.CASUALE [0,1]</v>
      </c>
      <c r="B81" s="130">
        <f t="shared" ca="1" si="6"/>
        <v>0.78920342365058249</v>
      </c>
      <c r="C81" s="15">
        <f t="shared" si="12"/>
        <v>55</v>
      </c>
      <c r="D81" s="128">
        <f t="shared" ca="1" si="8"/>
        <v>2881.4900940999023</v>
      </c>
      <c r="E81" s="4">
        <f t="shared" ca="1" si="9"/>
        <v>0</v>
      </c>
    </row>
    <row r="82" spans="1:5" ht="15.6" x14ac:dyDescent="0.3">
      <c r="A82" s="1" t="str">
        <f t="shared" si="11"/>
        <v>NUM.CASUALE [0,1]</v>
      </c>
      <c r="B82" s="130">
        <f t="shared" ca="1" si="6"/>
        <v>0.33475194294700661</v>
      </c>
      <c r="C82" s="15">
        <f t="shared" si="12"/>
        <v>56</v>
      </c>
      <c r="D82" s="128">
        <f t="shared" ca="1" si="8"/>
        <v>1843.1163780277718</v>
      </c>
      <c r="E82" s="4">
        <f t="shared" ca="1" si="9"/>
        <v>0</v>
      </c>
    </row>
    <row r="83" spans="1:5" ht="15.6" x14ac:dyDescent="0.3">
      <c r="A83" s="1" t="str">
        <f t="shared" si="11"/>
        <v>NUM.CASUALE [0,1]</v>
      </c>
      <c r="B83" s="130">
        <f t="shared" ca="1" si="6"/>
        <v>0.89518097966472265</v>
      </c>
      <c r="C83" s="15">
        <f t="shared" si="12"/>
        <v>57</v>
      </c>
      <c r="D83" s="128">
        <f t="shared" ca="1" si="8"/>
        <v>3394.1431424005223</v>
      </c>
      <c r="E83" s="4">
        <f t="shared" ca="1" si="9"/>
        <v>0</v>
      </c>
    </row>
    <row r="84" spans="1:5" ht="15.6" x14ac:dyDescent="0.3">
      <c r="A84" s="1" t="str">
        <f t="shared" si="11"/>
        <v>NUM.CASUALE [0,1]</v>
      </c>
      <c r="B84" s="130">
        <f t="shared" ca="1" si="6"/>
        <v>0.59430544420221987</v>
      </c>
      <c r="C84" s="15">
        <f t="shared" si="12"/>
        <v>58</v>
      </c>
      <c r="D84" s="128">
        <f t="shared" ca="1" si="8"/>
        <v>2346.9567841136941</v>
      </c>
      <c r="E84" s="4">
        <f t="shared" ca="1" si="9"/>
        <v>0</v>
      </c>
    </row>
    <row r="85" spans="1:5" ht="15.6" x14ac:dyDescent="0.3">
      <c r="A85" s="1" t="str">
        <f t="shared" si="11"/>
        <v>NUM.CASUALE [0,1]</v>
      </c>
      <c r="B85" s="130">
        <f t="shared" ca="1" si="6"/>
        <v>1.7617307751467748E-2</v>
      </c>
      <c r="C85" s="15">
        <f t="shared" si="12"/>
        <v>59</v>
      </c>
      <c r="D85" s="128">
        <f t="shared" ca="1" si="8"/>
        <v>1001.7983420544458</v>
      </c>
      <c r="E85" s="4">
        <f t="shared" ca="1" si="9"/>
        <v>0</v>
      </c>
    </row>
    <row r="86" spans="1:5" ht="15.6" x14ac:dyDescent="0.3">
      <c r="A86" s="1" t="str">
        <f t="shared" si="11"/>
        <v>NUM.CASUALE [0,1]</v>
      </c>
      <c r="B86" s="130">
        <f t="shared" ca="1" si="6"/>
        <v>0.48289736011351792</v>
      </c>
      <c r="C86" s="15">
        <f t="shared" si="12"/>
        <v>60</v>
      </c>
      <c r="D86" s="128">
        <f t="shared" ca="1" si="8"/>
        <v>2118.878630871046</v>
      </c>
      <c r="E86" s="4">
        <f t="shared" ca="1" si="9"/>
        <v>0</v>
      </c>
    </row>
    <row r="87" spans="1:5" ht="15.6" x14ac:dyDescent="0.3">
      <c r="A87" s="1" t="str">
        <f t="shared" si="11"/>
        <v>NUM.CASUALE [0,1]</v>
      </c>
      <c r="B87" s="130">
        <f t="shared" ca="1" si="6"/>
        <v>0.43179970017322433</v>
      </c>
      <c r="C87" s="15">
        <f t="shared" si="12"/>
        <v>61</v>
      </c>
      <c r="D87" s="128">
        <f t="shared" ca="1" si="8"/>
        <v>2021.9719123030684</v>
      </c>
      <c r="E87" s="4">
        <f t="shared" ca="1" si="9"/>
        <v>0</v>
      </c>
    </row>
    <row r="88" spans="1:5" ht="15.6" x14ac:dyDescent="0.3">
      <c r="A88" s="1" t="str">
        <f t="shared" si="11"/>
        <v>NUM.CASUALE [0,1]</v>
      </c>
      <c r="B88" s="130">
        <f t="shared" ca="1" si="6"/>
        <v>0.57321110932671204</v>
      </c>
      <c r="C88" s="15">
        <f t="shared" si="12"/>
        <v>62</v>
      </c>
      <c r="D88" s="128">
        <f t="shared" ca="1" si="8"/>
        <v>2301.3153008980944</v>
      </c>
      <c r="E88" s="4">
        <f t="shared" ca="1" si="9"/>
        <v>0</v>
      </c>
    </row>
    <row r="89" spans="1:5" ht="15.6" x14ac:dyDescent="0.3">
      <c r="A89" s="1" t="str">
        <f t="shared" si="11"/>
        <v>NUM.CASUALE [0,1]</v>
      </c>
      <c r="B89" s="130">
        <f t="shared" ca="1" si="6"/>
        <v>0.16897088361106294</v>
      </c>
      <c r="C89" s="15">
        <f t="shared" si="12"/>
        <v>63</v>
      </c>
      <c r="D89" s="128">
        <f t="shared" ca="1" si="8"/>
        <v>1519.6453692519954</v>
      </c>
      <c r="E89" s="4">
        <f t="shared" ca="1" si="9"/>
        <v>0</v>
      </c>
    </row>
    <row r="90" spans="1:5" ht="15.6" x14ac:dyDescent="0.3">
      <c r="A90" s="1" t="str">
        <f t="shared" si="11"/>
        <v>NUM.CASUALE [0,1]</v>
      </c>
      <c r="B90" s="130">
        <f t="shared" ca="1" si="6"/>
        <v>0.56655460595516893</v>
      </c>
      <c r="C90" s="15">
        <f t="shared" si="12"/>
        <v>64</v>
      </c>
      <c r="D90" s="128">
        <f t="shared" ca="1" si="8"/>
        <v>2287.1964973869226</v>
      </c>
      <c r="E90" s="4">
        <f t="shared" ca="1" si="9"/>
        <v>0</v>
      </c>
    </row>
    <row r="91" spans="1:5" ht="15.6" x14ac:dyDescent="0.3">
      <c r="A91" s="1" t="str">
        <f t="shared" si="11"/>
        <v>NUM.CASUALE [0,1]</v>
      </c>
      <c r="B91" s="130">
        <f t="shared" ca="1" si="6"/>
        <v>0.32917040717293211</v>
      </c>
      <c r="C91" s="15">
        <f t="shared" si="12"/>
        <v>65</v>
      </c>
      <c r="D91" s="128">
        <f t="shared" ca="1" si="8"/>
        <v>1832.8534786445332</v>
      </c>
      <c r="E91" s="4">
        <f t="shared" ca="1" si="9"/>
        <v>0</v>
      </c>
    </row>
    <row r="92" spans="1:5" ht="15.6" x14ac:dyDescent="0.3">
      <c r="A92" s="1" t="str">
        <f t="shared" si="11"/>
        <v>NUM.CASUALE [0,1]</v>
      </c>
      <c r="B92" s="130">
        <f t="shared" ref="B92:B126" ca="1" si="13">RAND()</f>
        <v>0.45001170868564377</v>
      </c>
      <c r="C92" s="15">
        <f t="shared" si="12"/>
        <v>66</v>
      </c>
      <c r="D92" s="128">
        <f t="shared" ref="D92:D126" ca="1" si="14">_xlfn.LOGNORM.INV(B92,$B$24,$C$24)</f>
        <v>2056.1534709019347</v>
      </c>
      <c r="E92" s="4">
        <f t="shared" ref="E92:E126" ca="1" si="15">IF(C92&lt;=$B$15,D92,0)</f>
        <v>0</v>
      </c>
    </row>
    <row r="93" spans="1:5" ht="15.6" x14ac:dyDescent="0.3">
      <c r="A93" s="1" t="str">
        <f t="shared" si="11"/>
        <v>NUM.CASUALE [0,1]</v>
      </c>
      <c r="B93" s="130">
        <f t="shared" ca="1" si="13"/>
        <v>0.76487015279048731</v>
      </c>
      <c r="C93" s="15">
        <f t="shared" si="12"/>
        <v>67</v>
      </c>
      <c r="D93" s="128">
        <f t="shared" ca="1" si="14"/>
        <v>2797.3521359161828</v>
      </c>
      <c r="E93" s="4">
        <f t="shared" ca="1" si="15"/>
        <v>0</v>
      </c>
    </row>
    <row r="94" spans="1:5" ht="15.6" x14ac:dyDescent="0.3">
      <c r="A94" s="1" t="str">
        <f t="shared" si="11"/>
        <v>NUM.CASUALE [0,1]</v>
      </c>
      <c r="B94" s="130">
        <f t="shared" ca="1" si="13"/>
        <v>0.92299449561116187</v>
      </c>
      <c r="C94" s="15">
        <f t="shared" si="12"/>
        <v>68</v>
      </c>
      <c r="D94" s="128">
        <f t="shared" ca="1" si="14"/>
        <v>3611.5228235893314</v>
      </c>
      <c r="E94" s="4">
        <f t="shared" ca="1" si="15"/>
        <v>0</v>
      </c>
    </row>
    <row r="95" spans="1:5" ht="15.6" x14ac:dyDescent="0.3">
      <c r="A95" s="1" t="str">
        <f t="shared" si="11"/>
        <v>NUM.CASUALE [0,1]</v>
      </c>
      <c r="B95" s="130">
        <f t="shared" ca="1" si="13"/>
        <v>0.53287676689900354</v>
      </c>
      <c r="C95" s="15">
        <f t="shared" si="12"/>
        <v>69</v>
      </c>
      <c r="D95" s="128">
        <f t="shared" ca="1" si="14"/>
        <v>2217.5895831818771</v>
      </c>
      <c r="E95" s="4">
        <f t="shared" ca="1" si="15"/>
        <v>0</v>
      </c>
    </row>
    <row r="96" spans="1:5" ht="15.6" x14ac:dyDescent="0.3">
      <c r="A96" s="1" t="str">
        <f t="shared" si="11"/>
        <v>NUM.CASUALE [0,1]</v>
      </c>
      <c r="B96" s="130">
        <f t="shared" ca="1" si="13"/>
        <v>0.98756997214344711</v>
      </c>
      <c r="C96" s="15">
        <f t="shared" si="12"/>
        <v>70</v>
      </c>
      <c r="D96" s="128">
        <f t="shared" ca="1" si="14"/>
        <v>4860.8240634174617</v>
      </c>
      <c r="E96" s="4">
        <f t="shared" ca="1" si="15"/>
        <v>0</v>
      </c>
    </row>
    <row r="97" spans="1:5" ht="15.6" x14ac:dyDescent="0.3">
      <c r="A97" s="1" t="str">
        <f t="shared" si="11"/>
        <v>NUM.CASUALE [0,1]</v>
      </c>
      <c r="B97" s="130">
        <f t="shared" ca="1" si="13"/>
        <v>0.25638396699993904</v>
      </c>
      <c r="C97" s="15">
        <f t="shared" si="12"/>
        <v>71</v>
      </c>
      <c r="D97" s="128">
        <f t="shared" ca="1" si="14"/>
        <v>1696.8392699876931</v>
      </c>
      <c r="E97" s="4">
        <f t="shared" ca="1" si="15"/>
        <v>0</v>
      </c>
    </row>
    <row r="98" spans="1:5" ht="15.6" x14ac:dyDescent="0.3">
      <c r="A98" s="1" t="str">
        <f t="shared" si="11"/>
        <v>NUM.CASUALE [0,1]</v>
      </c>
      <c r="B98" s="130">
        <f t="shared" ca="1" si="13"/>
        <v>0.79449132572225645</v>
      </c>
      <c r="C98" s="15">
        <f t="shared" si="12"/>
        <v>72</v>
      </c>
      <c r="D98" s="128">
        <f t="shared" ca="1" si="14"/>
        <v>2900.8550972013204</v>
      </c>
      <c r="E98" s="4">
        <f t="shared" ca="1" si="15"/>
        <v>0</v>
      </c>
    </row>
    <row r="99" spans="1:5" ht="15.6" x14ac:dyDescent="0.3">
      <c r="A99" s="1" t="str">
        <f t="shared" si="11"/>
        <v>NUM.CASUALE [0,1]</v>
      </c>
      <c r="B99" s="130">
        <f t="shared" ca="1" si="13"/>
        <v>0.69266392609387861</v>
      </c>
      <c r="C99" s="15">
        <f t="shared" si="12"/>
        <v>73</v>
      </c>
      <c r="D99" s="128">
        <f t="shared" ca="1" si="14"/>
        <v>2583.8337671918362</v>
      </c>
      <c r="E99" s="4">
        <f t="shared" ca="1" si="15"/>
        <v>0</v>
      </c>
    </row>
    <row r="100" spans="1:5" ht="15.6" x14ac:dyDescent="0.3">
      <c r="A100" s="1" t="str">
        <f t="shared" si="11"/>
        <v>NUM.CASUALE [0,1]</v>
      </c>
      <c r="B100" s="130">
        <f t="shared" ca="1" si="13"/>
        <v>8.0377481875197998E-2</v>
      </c>
      <c r="C100" s="15">
        <f t="shared" si="12"/>
        <v>74</v>
      </c>
      <c r="D100" s="128">
        <f t="shared" ca="1" si="14"/>
        <v>1293.2150993949797</v>
      </c>
      <c r="E100" s="4">
        <f t="shared" ca="1" si="15"/>
        <v>0</v>
      </c>
    </row>
    <row r="101" spans="1:5" ht="15.6" x14ac:dyDescent="0.3">
      <c r="A101" s="1" t="str">
        <f t="shared" ref="A101:A126" si="16">+A100</f>
        <v>NUM.CASUALE [0,1]</v>
      </c>
      <c r="B101" s="130">
        <f t="shared" ca="1" si="13"/>
        <v>0.64644685389780088</v>
      </c>
      <c r="C101" s="15">
        <f t="shared" ref="C101:C126" si="17">+C100+1</f>
        <v>75</v>
      </c>
      <c r="D101" s="128">
        <f t="shared" ca="1" si="14"/>
        <v>2466.7735565917337</v>
      </c>
      <c r="E101" s="4">
        <f t="shared" ca="1" si="15"/>
        <v>0</v>
      </c>
    </row>
    <row r="102" spans="1:5" ht="15.6" x14ac:dyDescent="0.3">
      <c r="A102" s="1" t="str">
        <f t="shared" si="16"/>
        <v>NUM.CASUALE [0,1]</v>
      </c>
      <c r="B102" s="130">
        <f t="shared" ca="1" si="13"/>
        <v>4.9204696351048183E-2</v>
      </c>
      <c r="C102" s="15">
        <f t="shared" si="17"/>
        <v>76</v>
      </c>
      <c r="D102" s="128">
        <f t="shared" ca="1" si="14"/>
        <v>1180.9466587453981</v>
      </c>
      <c r="E102" s="4">
        <f t="shared" ca="1" si="15"/>
        <v>0</v>
      </c>
    </row>
    <row r="103" spans="1:5" ht="15.6" x14ac:dyDescent="0.3">
      <c r="A103" s="1" t="str">
        <f t="shared" si="16"/>
        <v>NUM.CASUALE [0,1]</v>
      </c>
      <c r="B103" s="130">
        <f t="shared" ca="1" si="13"/>
        <v>0.79845166483351415</v>
      </c>
      <c r="C103" s="15">
        <f t="shared" si="17"/>
        <v>77</v>
      </c>
      <c r="D103" s="128">
        <f t="shared" ca="1" si="14"/>
        <v>2915.6396238438319</v>
      </c>
      <c r="E103" s="4">
        <f t="shared" ca="1" si="15"/>
        <v>0</v>
      </c>
    </row>
    <row r="104" spans="1:5" ht="15.6" x14ac:dyDescent="0.3">
      <c r="A104" s="1" t="str">
        <f t="shared" si="16"/>
        <v>NUM.CASUALE [0,1]</v>
      </c>
      <c r="B104" s="130">
        <f t="shared" ca="1" si="13"/>
        <v>0.26941806205003083</v>
      </c>
      <c r="C104" s="15">
        <f t="shared" si="17"/>
        <v>78</v>
      </c>
      <c r="D104" s="128">
        <f t="shared" ca="1" si="14"/>
        <v>1721.6422320362171</v>
      </c>
      <c r="E104" s="4">
        <f t="shared" ca="1" si="15"/>
        <v>0</v>
      </c>
    </row>
    <row r="105" spans="1:5" ht="15.6" x14ac:dyDescent="0.3">
      <c r="A105" s="1" t="str">
        <f t="shared" si="16"/>
        <v>NUM.CASUALE [0,1]</v>
      </c>
      <c r="B105" s="130">
        <f t="shared" ca="1" si="13"/>
        <v>0.48076784145427975</v>
      </c>
      <c r="C105" s="15">
        <f t="shared" si="17"/>
        <v>79</v>
      </c>
      <c r="D105" s="128">
        <f t="shared" ca="1" si="14"/>
        <v>2114.7710042953122</v>
      </c>
      <c r="E105" s="4">
        <f t="shared" ca="1" si="15"/>
        <v>0</v>
      </c>
    </row>
    <row r="106" spans="1:5" ht="15.6" x14ac:dyDescent="0.3">
      <c r="A106" s="1" t="str">
        <f t="shared" si="16"/>
        <v>NUM.CASUALE [0,1]</v>
      </c>
      <c r="B106" s="130">
        <f t="shared" ca="1" si="13"/>
        <v>0.22854313678377636</v>
      </c>
      <c r="C106" s="15">
        <f t="shared" si="17"/>
        <v>80</v>
      </c>
      <c r="D106" s="128">
        <f t="shared" ca="1" si="14"/>
        <v>1642.8026714278963</v>
      </c>
      <c r="E106" s="4">
        <f t="shared" ca="1" si="15"/>
        <v>0</v>
      </c>
    </row>
    <row r="107" spans="1:5" ht="15.6" x14ac:dyDescent="0.3">
      <c r="A107" s="1" t="str">
        <f t="shared" si="16"/>
        <v>NUM.CASUALE [0,1]</v>
      </c>
      <c r="B107" s="130">
        <f t="shared" ca="1" si="13"/>
        <v>0.14776594054706005</v>
      </c>
      <c r="C107" s="15">
        <f t="shared" si="17"/>
        <v>81</v>
      </c>
      <c r="D107" s="128">
        <f t="shared" ca="1" si="14"/>
        <v>1471.944313980501</v>
      </c>
      <c r="E107" s="4">
        <f t="shared" ca="1" si="15"/>
        <v>0</v>
      </c>
    </row>
    <row r="108" spans="1:5" ht="15.6" x14ac:dyDescent="0.3">
      <c r="A108" s="1" t="str">
        <f t="shared" si="16"/>
        <v>NUM.CASUALE [0,1]</v>
      </c>
      <c r="B108" s="130">
        <f t="shared" ca="1" si="13"/>
        <v>0.67918040355084897</v>
      </c>
      <c r="C108" s="15">
        <f t="shared" si="17"/>
        <v>82</v>
      </c>
      <c r="D108" s="128">
        <f t="shared" ca="1" si="14"/>
        <v>2548.4158937856323</v>
      </c>
      <c r="E108" s="4">
        <f t="shared" ca="1" si="15"/>
        <v>0</v>
      </c>
    </row>
    <row r="109" spans="1:5" ht="15.6" x14ac:dyDescent="0.3">
      <c r="A109" s="1" t="str">
        <f t="shared" si="16"/>
        <v>NUM.CASUALE [0,1]</v>
      </c>
      <c r="B109" s="130">
        <f t="shared" ca="1" si="13"/>
        <v>0.58440960525832852</v>
      </c>
      <c r="C109" s="15">
        <f t="shared" si="17"/>
        <v>83</v>
      </c>
      <c r="D109" s="128">
        <f t="shared" ca="1" si="14"/>
        <v>2325.368428778228</v>
      </c>
      <c r="E109" s="4">
        <f t="shared" ca="1" si="15"/>
        <v>0</v>
      </c>
    </row>
    <row r="110" spans="1:5" ht="15.6" x14ac:dyDescent="0.3">
      <c r="A110" s="1" t="str">
        <f t="shared" si="16"/>
        <v>NUM.CASUALE [0,1]</v>
      </c>
      <c r="B110" s="130">
        <f t="shared" ca="1" si="13"/>
        <v>0.94772986595590081</v>
      </c>
      <c r="C110" s="15">
        <f t="shared" si="17"/>
        <v>84</v>
      </c>
      <c r="D110" s="128">
        <f t="shared" ca="1" si="14"/>
        <v>3880.3780411583771</v>
      </c>
      <c r="E110" s="4">
        <f t="shared" ca="1" si="15"/>
        <v>0</v>
      </c>
    </row>
    <row r="111" spans="1:5" ht="15.6" x14ac:dyDescent="0.3">
      <c r="A111" s="1" t="str">
        <f t="shared" si="16"/>
        <v>NUM.CASUALE [0,1]</v>
      </c>
      <c r="B111" s="130">
        <f t="shared" ca="1" si="13"/>
        <v>0.2531319841265649</v>
      </c>
      <c r="C111" s="15">
        <f t="shared" si="17"/>
        <v>85</v>
      </c>
      <c r="D111" s="128">
        <f t="shared" ca="1" si="14"/>
        <v>1690.6070962632932</v>
      </c>
      <c r="E111" s="4">
        <f t="shared" ca="1" si="15"/>
        <v>0</v>
      </c>
    </row>
    <row r="112" spans="1:5" ht="15.6" x14ac:dyDescent="0.3">
      <c r="A112" s="1" t="str">
        <f t="shared" si="16"/>
        <v>NUM.CASUALE [0,1]</v>
      </c>
      <c r="B112" s="130">
        <f t="shared" ca="1" si="13"/>
        <v>0.97799230496889666</v>
      </c>
      <c r="C112" s="15">
        <f t="shared" si="17"/>
        <v>86</v>
      </c>
      <c r="D112" s="128">
        <f t="shared" ca="1" si="14"/>
        <v>4471.9282903788207</v>
      </c>
      <c r="E112" s="4">
        <f t="shared" ca="1" si="15"/>
        <v>0</v>
      </c>
    </row>
    <row r="113" spans="1:5" ht="15.6" x14ac:dyDescent="0.3">
      <c r="A113" s="1" t="str">
        <f t="shared" si="16"/>
        <v>NUM.CASUALE [0,1]</v>
      </c>
      <c r="B113" s="130">
        <f t="shared" ca="1" si="13"/>
        <v>0.49482836291251542</v>
      </c>
      <c r="C113" s="15">
        <f t="shared" si="17"/>
        <v>87</v>
      </c>
      <c r="D113" s="128">
        <f t="shared" ca="1" si="14"/>
        <v>2142.0261033913066</v>
      </c>
      <c r="E113" s="4">
        <f t="shared" ca="1" si="15"/>
        <v>0</v>
      </c>
    </row>
    <row r="114" spans="1:5" ht="15.6" x14ac:dyDescent="0.3">
      <c r="A114" s="1" t="str">
        <f t="shared" si="16"/>
        <v>NUM.CASUALE [0,1]</v>
      </c>
      <c r="B114" s="130">
        <f t="shared" ca="1" si="13"/>
        <v>0.22873996034565602</v>
      </c>
      <c r="C114" s="15">
        <f t="shared" si="17"/>
        <v>88</v>
      </c>
      <c r="D114" s="128">
        <f t="shared" ca="1" si="14"/>
        <v>1643.1907048707656</v>
      </c>
      <c r="E114" s="4">
        <f t="shared" ca="1" si="15"/>
        <v>0</v>
      </c>
    </row>
    <row r="115" spans="1:5" ht="15.6" x14ac:dyDescent="0.3">
      <c r="A115" s="1" t="str">
        <f t="shared" si="16"/>
        <v>NUM.CASUALE [0,1]</v>
      </c>
      <c r="B115" s="130">
        <f t="shared" ca="1" si="13"/>
        <v>0.56319047724525106</v>
      </c>
      <c r="C115" s="15">
        <f t="shared" si="17"/>
        <v>89</v>
      </c>
      <c r="D115" s="128">
        <f t="shared" ca="1" si="14"/>
        <v>2280.1093669747997</v>
      </c>
      <c r="E115" s="4">
        <f t="shared" ca="1" si="15"/>
        <v>0</v>
      </c>
    </row>
    <row r="116" spans="1:5" ht="15.6" x14ac:dyDescent="0.3">
      <c r="A116" s="1" t="str">
        <f t="shared" si="16"/>
        <v>NUM.CASUALE [0,1]</v>
      </c>
      <c r="B116" s="130">
        <f t="shared" ca="1" si="13"/>
        <v>0.68388328424092126</v>
      </c>
      <c r="C116" s="15">
        <f t="shared" si="17"/>
        <v>90</v>
      </c>
      <c r="D116" s="128">
        <f t="shared" ca="1" si="14"/>
        <v>2560.6402535972734</v>
      </c>
      <c r="E116" s="4">
        <f t="shared" ca="1" si="15"/>
        <v>0</v>
      </c>
    </row>
    <row r="117" spans="1:5" ht="15.6" x14ac:dyDescent="0.3">
      <c r="A117" s="1" t="str">
        <f t="shared" si="16"/>
        <v>NUM.CASUALE [0,1]</v>
      </c>
      <c r="B117" s="130">
        <f t="shared" ca="1" si="13"/>
        <v>0.40277641697592326</v>
      </c>
      <c r="C117" s="15">
        <f t="shared" si="17"/>
        <v>91</v>
      </c>
      <c r="D117" s="128">
        <f t="shared" ca="1" si="14"/>
        <v>1968.0925073164869</v>
      </c>
      <c r="E117" s="4">
        <f t="shared" ca="1" si="15"/>
        <v>0</v>
      </c>
    </row>
    <row r="118" spans="1:5" ht="15.6" x14ac:dyDescent="0.3">
      <c r="A118" s="1" t="str">
        <f t="shared" si="16"/>
        <v>NUM.CASUALE [0,1]</v>
      </c>
      <c r="B118" s="130">
        <f t="shared" ca="1" si="13"/>
        <v>0.80646304528644897</v>
      </c>
      <c r="C118" s="15">
        <f t="shared" si="17"/>
        <v>92</v>
      </c>
      <c r="D118" s="128">
        <f t="shared" ca="1" si="14"/>
        <v>2946.3281027896701</v>
      </c>
      <c r="E118" s="4">
        <f t="shared" ca="1" si="15"/>
        <v>0</v>
      </c>
    </row>
    <row r="119" spans="1:5" ht="15.6" x14ac:dyDescent="0.3">
      <c r="A119" s="1" t="str">
        <f t="shared" si="16"/>
        <v>NUM.CASUALE [0,1]</v>
      </c>
      <c r="B119" s="130">
        <f t="shared" ca="1" si="13"/>
        <v>0.38921369079064705</v>
      </c>
      <c r="C119" s="15">
        <f t="shared" si="17"/>
        <v>93</v>
      </c>
      <c r="D119" s="128">
        <f t="shared" ca="1" si="14"/>
        <v>1943.0935603747989</v>
      </c>
      <c r="E119" s="4">
        <f t="shared" ca="1" si="15"/>
        <v>0</v>
      </c>
    </row>
    <row r="120" spans="1:5" ht="15.6" x14ac:dyDescent="0.3">
      <c r="A120" s="1" t="str">
        <f t="shared" si="16"/>
        <v>NUM.CASUALE [0,1]</v>
      </c>
      <c r="B120" s="130">
        <f t="shared" ca="1" si="13"/>
        <v>0.52145836096252463</v>
      </c>
      <c r="C120" s="15">
        <f t="shared" si="17"/>
        <v>94</v>
      </c>
      <c r="D120" s="128">
        <f t="shared" ca="1" si="14"/>
        <v>2194.6056970907457</v>
      </c>
      <c r="E120" s="4">
        <f t="shared" ca="1" si="15"/>
        <v>0</v>
      </c>
    </row>
    <row r="121" spans="1:5" ht="15.6" x14ac:dyDescent="0.3">
      <c r="A121" s="1" t="str">
        <f t="shared" si="16"/>
        <v>NUM.CASUALE [0,1]</v>
      </c>
      <c r="B121" s="130">
        <f t="shared" ca="1" si="13"/>
        <v>0.5597770551375425</v>
      </c>
      <c r="C121" s="15">
        <f t="shared" si="17"/>
        <v>95</v>
      </c>
      <c r="D121" s="128">
        <f t="shared" ca="1" si="14"/>
        <v>2272.9506208573462</v>
      </c>
      <c r="E121" s="4">
        <f t="shared" ca="1" si="15"/>
        <v>0</v>
      </c>
    </row>
    <row r="122" spans="1:5" ht="15.6" x14ac:dyDescent="0.3">
      <c r="A122" s="1" t="str">
        <f t="shared" si="16"/>
        <v>NUM.CASUALE [0,1]</v>
      </c>
      <c r="B122" s="130">
        <f t="shared" ca="1" si="13"/>
        <v>0.19673006398731463</v>
      </c>
      <c r="C122" s="15">
        <f t="shared" si="17"/>
        <v>96</v>
      </c>
      <c r="D122" s="128">
        <f t="shared" ca="1" si="14"/>
        <v>1578.6408099717714</v>
      </c>
      <c r="E122" s="4">
        <f t="shared" ca="1" si="15"/>
        <v>0</v>
      </c>
    </row>
    <row r="123" spans="1:5" ht="15.6" x14ac:dyDescent="0.3">
      <c r="A123" s="1" t="str">
        <f t="shared" si="16"/>
        <v>NUM.CASUALE [0,1]</v>
      </c>
      <c r="B123" s="130">
        <f t="shared" ca="1" si="13"/>
        <v>0.29589043336806076</v>
      </c>
      <c r="C123" s="15">
        <f t="shared" si="17"/>
        <v>97</v>
      </c>
      <c r="D123" s="128">
        <f t="shared" ca="1" si="14"/>
        <v>1771.309710226576</v>
      </c>
      <c r="E123" s="4">
        <f t="shared" ca="1" si="15"/>
        <v>0</v>
      </c>
    </row>
    <row r="124" spans="1:5" ht="15.6" x14ac:dyDescent="0.3">
      <c r="A124" s="1" t="str">
        <f t="shared" si="16"/>
        <v>NUM.CASUALE [0,1]</v>
      </c>
      <c r="B124" s="130">
        <f t="shared" ca="1" si="13"/>
        <v>0.89324425293484877</v>
      </c>
      <c r="C124" s="15">
        <f t="shared" si="17"/>
        <v>98</v>
      </c>
      <c r="D124" s="128">
        <f t="shared" ca="1" si="14"/>
        <v>3381.1105984032852</v>
      </c>
      <c r="E124" s="4">
        <f t="shared" ca="1" si="15"/>
        <v>0</v>
      </c>
    </row>
    <row r="125" spans="1:5" ht="15.6" x14ac:dyDescent="0.3">
      <c r="A125" s="1" t="str">
        <f t="shared" si="16"/>
        <v>NUM.CASUALE [0,1]</v>
      </c>
      <c r="B125" s="130">
        <f t="shared" ca="1" si="13"/>
        <v>0.66882341850027993</v>
      </c>
      <c r="C125" s="15">
        <f t="shared" si="17"/>
        <v>99</v>
      </c>
      <c r="D125" s="128">
        <f t="shared" ca="1" si="14"/>
        <v>2521.9552789187173</v>
      </c>
      <c r="E125" s="4">
        <f t="shared" ca="1" si="15"/>
        <v>0</v>
      </c>
    </row>
    <row r="126" spans="1:5" ht="15.6" x14ac:dyDescent="0.3">
      <c r="A126" s="1" t="str">
        <f t="shared" si="16"/>
        <v>NUM.CASUALE [0,1]</v>
      </c>
      <c r="B126" s="130">
        <f t="shared" ca="1" si="13"/>
        <v>0.85168056669440695</v>
      </c>
      <c r="C126" s="15">
        <f t="shared" si="17"/>
        <v>100</v>
      </c>
      <c r="D126" s="128">
        <f t="shared" ca="1" si="14"/>
        <v>3143.9059663490762</v>
      </c>
      <c r="E126" s="4">
        <f t="shared" ca="1" si="15"/>
        <v>0</v>
      </c>
    </row>
    <row r="127" spans="1:5" ht="15.6" x14ac:dyDescent="0.3">
      <c r="A127" s="3"/>
      <c r="B127" s="7"/>
      <c r="D127" s="111"/>
      <c r="E127" s="111"/>
    </row>
    <row r="128" spans="1:5" ht="15.6" x14ac:dyDescent="0.3">
      <c r="A128" s="3"/>
      <c r="B128" s="7"/>
      <c r="D128" s="111"/>
      <c r="E128" s="111"/>
    </row>
    <row r="129" spans="1:5" ht="15.6" x14ac:dyDescent="0.3">
      <c r="A129" s="3"/>
      <c r="B129" s="7"/>
      <c r="D129" s="111"/>
      <c r="E129" s="111"/>
    </row>
    <row r="130" spans="1:5" ht="15.6" x14ac:dyDescent="0.3">
      <c r="A130" s="3"/>
      <c r="B130" s="7"/>
      <c r="D130" s="111"/>
      <c r="E130" s="111"/>
    </row>
    <row r="131" spans="1:5" ht="15.6" x14ac:dyDescent="0.3">
      <c r="A131" s="3"/>
      <c r="B131" s="7"/>
      <c r="D131" s="111"/>
      <c r="E131" s="111"/>
    </row>
    <row r="132" spans="1:5" ht="15.6" x14ac:dyDescent="0.3">
      <c r="A132" s="3"/>
      <c r="B132" s="7"/>
      <c r="D132" s="111"/>
      <c r="E132" s="111"/>
    </row>
    <row r="133" spans="1:5" ht="15.6" x14ac:dyDescent="0.3">
      <c r="A133" s="3"/>
      <c r="B133" s="7"/>
      <c r="D133" s="111"/>
      <c r="E133" s="111"/>
    </row>
    <row r="134" spans="1:5" ht="15.6" x14ac:dyDescent="0.3">
      <c r="A134" s="3"/>
      <c r="B134" s="7"/>
      <c r="D134" s="111"/>
      <c r="E134" s="111"/>
    </row>
    <row r="135" spans="1:5" ht="15.6" x14ac:dyDescent="0.3">
      <c r="A135" s="3"/>
      <c r="B135" s="7"/>
      <c r="D135" s="111"/>
      <c r="E135" s="111"/>
    </row>
    <row r="136" spans="1:5" ht="15.6" x14ac:dyDescent="0.3">
      <c r="A136" s="3"/>
      <c r="B136" s="7"/>
      <c r="D136" s="111"/>
      <c r="E136" s="111"/>
    </row>
    <row r="137" spans="1:5" ht="15.6" x14ac:dyDescent="0.3">
      <c r="A137" s="3"/>
      <c r="B137" s="7"/>
      <c r="D137" s="111"/>
      <c r="E137" s="111"/>
    </row>
    <row r="138" spans="1:5" ht="15.6" x14ac:dyDescent="0.3">
      <c r="A138" s="3"/>
      <c r="B138" s="7"/>
      <c r="D138" s="111"/>
      <c r="E138" s="111"/>
    </row>
    <row r="139" spans="1:5" ht="15.6" x14ac:dyDescent="0.3">
      <c r="A139" s="3"/>
      <c r="B139" s="7"/>
      <c r="D139" s="111"/>
      <c r="E139" s="111"/>
    </row>
    <row r="140" spans="1:5" ht="15.6" x14ac:dyDescent="0.3">
      <c r="A140" s="3"/>
      <c r="B140" s="7"/>
      <c r="D140" s="111"/>
      <c r="E140" s="111"/>
    </row>
    <row r="141" spans="1:5" ht="15.6" x14ac:dyDescent="0.3">
      <c r="A141" s="3"/>
      <c r="B141" s="7"/>
      <c r="D141" s="111"/>
      <c r="E141" s="111"/>
    </row>
  </sheetData>
  <mergeCells count="1">
    <mergeCell ref="C8:CZ8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2"/>
  <dimension ref="A1:CZ145"/>
  <sheetViews>
    <sheetView zoomScaleNormal="100" workbookViewId="0">
      <selection activeCell="C16" sqref="C16"/>
    </sheetView>
  </sheetViews>
  <sheetFormatPr defaultRowHeight="14.4" x14ac:dyDescent="0.3"/>
  <cols>
    <col min="1" max="1" width="24.77734375" bestFit="1" customWidth="1"/>
    <col min="2" max="2" width="18" bestFit="1" customWidth="1"/>
    <col min="3" max="3" width="27.5546875" customWidth="1"/>
    <col min="4" max="6" width="19.44140625" bestFit="1" customWidth="1"/>
    <col min="7" max="7" width="25.6640625" bestFit="1" customWidth="1"/>
    <col min="8" max="102" width="19.44140625" bestFit="1" customWidth="1"/>
    <col min="103" max="103" width="23.77734375" bestFit="1" customWidth="1"/>
    <col min="104" max="104" width="11" bestFit="1" customWidth="1"/>
  </cols>
  <sheetData>
    <row r="1" spans="1:104" x14ac:dyDescent="0.3">
      <c r="A1" s="12" t="s">
        <v>12</v>
      </c>
    </row>
    <row r="2" spans="1:104" x14ac:dyDescent="0.3">
      <c r="A2" s="12" t="s">
        <v>25</v>
      </c>
      <c r="B2" s="124">
        <f>'Numero dei sinistri'!D49</f>
        <v>0.10311008353221957</v>
      </c>
      <c r="D2" t="s">
        <v>29</v>
      </c>
      <c r="E2" s="131">
        <f>'Numero dei sinistri'!D53</f>
        <v>2.009148253958327</v>
      </c>
    </row>
    <row r="3" spans="1:104" x14ac:dyDescent="0.3">
      <c r="A3" s="12" t="s">
        <v>26</v>
      </c>
      <c r="B3" s="124">
        <f>'Numero dei sinistri'!D50</f>
        <v>0.10840172356180686</v>
      </c>
      <c r="D3" t="s">
        <v>30</v>
      </c>
      <c r="E3" s="131">
        <f>'Numero dei sinistri'!D56</f>
        <v>19.485468201861302</v>
      </c>
    </row>
    <row r="4" spans="1:104" x14ac:dyDescent="0.3">
      <c r="E4" s="106"/>
    </row>
    <row r="5" spans="1:104" x14ac:dyDescent="0.3">
      <c r="A5" s="12" t="s">
        <v>11</v>
      </c>
      <c r="B5" s="11">
        <f>'POISSON-LOGNORM'!B3</f>
        <v>400</v>
      </c>
      <c r="E5" s="106"/>
    </row>
    <row r="6" spans="1:104" x14ac:dyDescent="0.3">
      <c r="B6">
        <f>B5*B2</f>
        <v>41.244033412887823</v>
      </c>
      <c r="C6">
        <f>B5*B3</f>
        <v>43.360689424722743</v>
      </c>
      <c r="E6" s="106"/>
    </row>
    <row r="7" spans="1:104" x14ac:dyDescent="0.3">
      <c r="A7" s="12" t="s">
        <v>27</v>
      </c>
      <c r="B7" s="132">
        <f>E7/E8</f>
        <v>41.244033412887831</v>
      </c>
      <c r="D7" t="s">
        <v>16</v>
      </c>
      <c r="E7" s="169">
        <f>B5*E2</f>
        <v>803.65930158333083</v>
      </c>
    </row>
    <row r="8" spans="1:104" x14ac:dyDescent="0.3">
      <c r="A8" s="12" t="s">
        <v>28</v>
      </c>
      <c r="B8" s="132">
        <f>B7*(1+1/E8)</f>
        <v>43.360689424722743</v>
      </c>
      <c r="D8" t="s">
        <v>17</v>
      </c>
      <c r="E8" s="169">
        <f>E3</f>
        <v>19.485468201861302</v>
      </c>
    </row>
    <row r="9" spans="1:104" x14ac:dyDescent="0.3">
      <c r="A9" s="12" t="s">
        <v>3</v>
      </c>
      <c r="B9" s="11"/>
      <c r="C9" s="16">
        <f>C10</f>
        <v>3.4074218545519815E-18</v>
      </c>
      <c r="D9" s="170">
        <f>C9+D10</f>
        <v>1.3708297375529948E-16</v>
      </c>
      <c r="E9" s="170">
        <f t="shared" ref="E9:BP9" si="0">D9+E10</f>
        <v>2.7624385470647888E-15</v>
      </c>
      <c r="F9" s="170">
        <f t="shared" si="0"/>
        <v>3.7179390712994904E-14</v>
      </c>
      <c r="G9" s="170">
        <f t="shared" si="0"/>
        <v>3.7598974060621309E-13</v>
      </c>
      <c r="H9" s="170">
        <f t="shared" si="0"/>
        <v>3.047574572034156E-12</v>
      </c>
      <c r="I9" s="170">
        <f t="shared" si="0"/>
        <v>2.0624277421543573E-11</v>
      </c>
      <c r="J9" s="170">
        <f t="shared" si="0"/>
        <v>1.1986634092473108E-10</v>
      </c>
      <c r="K9" s="170">
        <f t="shared" si="0"/>
        <v>6.1077226686222542E-10</v>
      </c>
      <c r="L9" s="170">
        <f t="shared" si="0"/>
        <v>2.7719159455762373E-9</v>
      </c>
      <c r="M9" s="170">
        <f t="shared" si="0"/>
        <v>1.1345181126820105E-8</v>
      </c>
      <c r="N9" s="170">
        <f t="shared" si="0"/>
        <v>4.2301568405494079E-8</v>
      </c>
      <c r="O9" s="170">
        <f t="shared" si="0"/>
        <v>1.4489017980343562E-7</v>
      </c>
      <c r="P9" s="170">
        <f t="shared" si="0"/>
        <v>4.590992357761201E-7</v>
      </c>
      <c r="Q9" s="170">
        <f t="shared" si="0"/>
        <v>1.3538162185426629E-6</v>
      </c>
      <c r="R9" s="170">
        <f t="shared" si="0"/>
        <v>3.7346052280486499E-6</v>
      </c>
      <c r="S9" s="170">
        <f t="shared" si="0"/>
        <v>9.6810615420247664E-6</v>
      </c>
      <c r="T9" s="170">
        <f t="shared" si="0"/>
        <v>2.3676831275508313E-5</v>
      </c>
      <c r="U9" s="170">
        <f t="shared" si="0"/>
        <v>5.4825628780328332E-5</v>
      </c>
      <c r="V9" s="170">
        <f t="shared" si="0"/>
        <v>1.2058135312515819E-4</v>
      </c>
      <c r="W9" s="170">
        <f t="shared" si="0"/>
        <v>2.5261289307236025E-4</v>
      </c>
      <c r="X9" s="170">
        <f t="shared" si="0"/>
        <v>5.0540301938295517E-4</v>
      </c>
      <c r="Y9" s="170">
        <f t="shared" si="0"/>
        <v>9.6796090976887387E-4</v>
      </c>
      <c r="Z9" s="170">
        <f t="shared" si="0"/>
        <v>1.7785359772615758E-3</v>
      </c>
      <c r="AA9" s="170">
        <f t="shared" si="0"/>
        <v>3.1414318045450843E-3</v>
      </c>
      <c r="AB9" s="170">
        <f t="shared" si="0"/>
        <v>5.343994904250686E-3</v>
      </c>
      <c r="AC9" s="170">
        <f t="shared" si="0"/>
        <v>8.7707662471779944E-3</v>
      </c>
      <c r="AD9" s="170">
        <f t="shared" si="0"/>
        <v>1.3910909875648438E-2</v>
      </c>
      <c r="AE9" s="170">
        <f t="shared" si="0"/>
        <v>2.1354702425828896E-2</v>
      </c>
      <c r="AF9" s="170">
        <f t="shared" si="0"/>
        <v>3.1775376633233036E-2</v>
      </c>
      <c r="AG9" s="170">
        <f t="shared" si="0"/>
        <v>4.589411879403979E-2</v>
      </c>
      <c r="AH9" s="170">
        <f t="shared" si="0"/>
        <v>6.4428454250970768E-2</v>
      </c>
      <c r="AI9" s="170">
        <f t="shared" si="0"/>
        <v>8.802727948795569E-2</v>
      </c>
      <c r="AJ9" s="170">
        <f t="shared" si="0"/>
        <v>0.11719884936639821</v>
      </c>
      <c r="AK9" s="170">
        <f t="shared" si="0"/>
        <v>0.15224042563960399</v>
      </c>
      <c r="AL9" s="170">
        <f t="shared" si="0"/>
        <v>0.1931794143595976</v>
      </c>
      <c r="AM9" s="170">
        <f t="shared" si="0"/>
        <v>0.23973526684802174</v>
      </c>
      <c r="AN9" s="170">
        <f t="shared" si="0"/>
        <v>0.29130914245458728</v>
      </c>
      <c r="AO9" s="170">
        <f t="shared" si="0"/>
        <v>0.34700466720430595</v>
      </c>
      <c r="AP9" s="170">
        <f t="shared" si="0"/>
        <v>0.405678725247203</v>
      </c>
      <c r="AQ9" s="170">
        <f t="shared" si="0"/>
        <v>0.46601691264459322</v>
      </c>
      <c r="AR9" s="170">
        <f t="shared" si="0"/>
        <v>0.52662486443739465</v>
      </c>
      <c r="AS9" s="170">
        <f t="shared" si="0"/>
        <v>0.58612473100396056</v>
      </c>
      <c r="AT9" s="170">
        <f t="shared" si="0"/>
        <v>0.64324589805506882</v>
      </c>
      <c r="AU9" s="170">
        <f t="shared" si="0"/>
        <v>0.69690052568556238</v>
      </c>
      <c r="AV9" s="170">
        <f t="shared" si="0"/>
        <v>0.74623722701703543</v>
      </c>
      <c r="AW9" s="170">
        <f t="shared" si="0"/>
        <v>0.7906696256344049</v>
      </c>
      <c r="AX9" s="170">
        <f t="shared" si="0"/>
        <v>0.82987998498798943</v>
      </c>
      <c r="AY9" s="170">
        <f t="shared" si="0"/>
        <v>0.86380103959228149</v>
      </c>
      <c r="AZ9" s="170">
        <f t="shared" si="0"/>
        <v>0.89258120367637306</v>
      </c>
      <c r="BA9" s="170">
        <f t="shared" si="0"/>
        <v>0.9165393327907132</v>
      </c>
      <c r="BB9" s="170">
        <f t="shared" si="0"/>
        <v>0.93611521789864283</v>
      </c>
      <c r="BC9" s="170">
        <f t="shared" si="0"/>
        <v>0.95182120343073229</v>
      </c>
      <c r="BD9" s="170">
        <f t="shared" si="0"/>
        <v>0.96419902747970676</v>
      </c>
      <c r="BE9" s="170">
        <f t="shared" si="0"/>
        <v>0.97378448364617121</v>
      </c>
      <c r="BF9" s="170">
        <f t="shared" si="0"/>
        <v>0.98108105785457922</v>
      </c>
      <c r="BG9" s="170">
        <f t="shared" si="0"/>
        <v>0.98654248269416844</v>
      </c>
      <c r="BH9" s="170">
        <f t="shared" si="0"/>
        <v>0.99056327442311631</v>
      </c>
      <c r="BI9" s="170">
        <f t="shared" si="0"/>
        <v>0.99347579469421321</v>
      </c>
      <c r="BJ9" s="170">
        <f t="shared" si="0"/>
        <v>0.99555217371063609</v>
      </c>
      <c r="BK9" s="170">
        <f t="shared" si="0"/>
        <v>0.99700947314397048</v>
      </c>
      <c r="BL9" s="170">
        <f t="shared" si="0"/>
        <v>0.99801667269010497</v>
      </c>
      <c r="BM9" s="170">
        <f t="shared" si="0"/>
        <v>0.99870235501609939</v>
      </c>
      <c r="BN9" s="170">
        <f t="shared" si="0"/>
        <v>0.99916227630365417</v>
      </c>
      <c r="BO9" s="170">
        <f t="shared" si="0"/>
        <v>0.99946629902747586</v>
      </c>
      <c r="BP9" s="170">
        <f t="shared" si="0"/>
        <v>0.99966440429418513</v>
      </c>
      <c r="BQ9" s="170">
        <f t="shared" ref="BQ9:CX9" si="1">BP9+BQ10</f>
        <v>0.99979168297521559</v>
      </c>
      <c r="BR9" s="170">
        <f t="shared" si="1"/>
        <v>0.99987232921364799</v>
      </c>
      <c r="BS9" s="170">
        <f t="shared" si="1"/>
        <v>0.99992273467017556</v>
      </c>
      <c r="BT9" s="170">
        <f t="shared" si="1"/>
        <v>0.99995381812880579</v>
      </c>
      <c r="BU9" s="170">
        <f t="shared" si="1"/>
        <v>0.99997273416447119</v>
      </c>
      <c r="BV9" s="170">
        <f t="shared" si="1"/>
        <v>0.99998409650984743</v>
      </c>
      <c r="BW9" s="170">
        <f t="shared" si="1"/>
        <v>0.99999083447118153</v>
      </c>
      <c r="BX9" s="170">
        <f t="shared" si="1"/>
        <v>0.99999477990647556</v>
      </c>
      <c r="BY9" s="170">
        <f t="shared" si="1"/>
        <v>0.99999706155190982</v>
      </c>
      <c r="BZ9" s="170">
        <f t="shared" si="1"/>
        <v>0.99999836491962302</v>
      </c>
      <c r="CA9" s="170">
        <f t="shared" si="1"/>
        <v>0.99999910049635454</v>
      </c>
      <c r="CB9" s="170">
        <f t="shared" si="1"/>
        <v>0.99999951070599491</v>
      </c>
      <c r="CC9" s="170">
        <f t="shared" si="1"/>
        <v>0.9999997367917981</v>
      </c>
      <c r="CD9" s="170">
        <f t="shared" si="1"/>
        <v>0.99999985996070873</v>
      </c>
      <c r="CE9" s="170">
        <f t="shared" si="1"/>
        <v>0.99999992629808965</v>
      </c>
      <c r="CF9" s="170">
        <f t="shared" si="1"/>
        <v>0.99999996162553728</v>
      </c>
      <c r="CG9" s="170">
        <f t="shared" si="1"/>
        <v>0.99999998023048964</v>
      </c>
      <c r="CH9" s="170">
        <f t="shared" si="1"/>
        <v>0.99999998992154926</v>
      </c>
      <c r="CI9" s="170">
        <f t="shared" si="1"/>
        <v>0.999999994915024</v>
      </c>
      <c r="CJ9" s="170">
        <f t="shared" si="1"/>
        <v>0.99999999746058987</v>
      </c>
      <c r="CK9" s="170">
        <f t="shared" si="1"/>
        <v>0.9999999987446202</v>
      </c>
      <c r="CL9" s="170">
        <f t="shared" si="1"/>
        <v>0.99999999938558459</v>
      </c>
      <c r="CM9" s="170">
        <f t="shared" si="1"/>
        <v>0.99999999970226183</v>
      </c>
      <c r="CN9" s="170">
        <f t="shared" si="1"/>
        <v>0.99999999985713639</v>
      </c>
      <c r="CO9" s="170">
        <f t="shared" si="1"/>
        <v>0.99999999993212185</v>
      </c>
      <c r="CP9" s="170">
        <f t="shared" si="1"/>
        <v>0.99999999996806876</v>
      </c>
      <c r="CQ9" s="170">
        <f t="shared" si="1"/>
        <v>0.999999999985133</v>
      </c>
      <c r="CR9" s="170">
        <f t="shared" si="1"/>
        <v>0.99999999999315536</v>
      </c>
      <c r="CS9" s="170">
        <f t="shared" si="1"/>
        <v>0.99999999999689093</v>
      </c>
      <c r="CT9" s="170">
        <f t="shared" si="1"/>
        <v>0.999999999998614</v>
      </c>
      <c r="CU9" s="170">
        <f t="shared" si="1"/>
        <v>0.99999999999940137</v>
      </c>
      <c r="CV9" s="170">
        <f t="shared" si="1"/>
        <v>0.99999999999975786</v>
      </c>
      <c r="CW9" s="170">
        <f t="shared" si="1"/>
        <v>0.99999999999991773</v>
      </c>
      <c r="CX9" s="170">
        <f t="shared" si="1"/>
        <v>0.99999999999998879</v>
      </c>
      <c r="CY9" s="171">
        <v>1</v>
      </c>
      <c r="CZ9" s="16">
        <v>1</v>
      </c>
    </row>
    <row r="10" spans="1:104" x14ac:dyDescent="0.3">
      <c r="A10" s="12" t="s">
        <v>2</v>
      </c>
      <c r="B10" s="11"/>
      <c r="C10" s="172">
        <f>(E8/(1+E8))^E7</f>
        <v>3.4074218545519815E-18</v>
      </c>
      <c r="D10" s="16">
        <f>C10*(D11+$E$7-1)/(D11*(1+$E$8))</f>
        <v>1.336755519007475E-16</v>
      </c>
      <c r="E10" s="16">
        <f t="shared" ref="E10:BP10" si="2">D10*(E11+$E$7-1)/(E11*(1+$E$8))</f>
        <v>2.6253555733094894E-15</v>
      </c>
      <c r="F10" s="16">
        <f t="shared" si="2"/>
        <v>3.4416952165930113E-14</v>
      </c>
      <c r="G10" s="16">
        <f t="shared" si="2"/>
        <v>3.3881034989321817E-13</v>
      </c>
      <c r="H10" s="16">
        <f t="shared" si="2"/>
        <v>2.6715848314279428E-12</v>
      </c>
      <c r="I10" s="16">
        <f t="shared" si="2"/>
        <v>1.7576702849509418E-11</v>
      </c>
      <c r="J10" s="16">
        <f t="shared" si="2"/>
        <v>9.9242063503187505E-11</v>
      </c>
      <c r="K10" s="16">
        <f t="shared" si="2"/>
        <v>4.9090592593749431E-10</v>
      </c>
      <c r="L10" s="16">
        <f t="shared" si="2"/>
        <v>2.1611436787140118E-9</v>
      </c>
      <c r="M10" s="16">
        <f t="shared" si="2"/>
        <v>8.5732651812438684E-9</v>
      </c>
      <c r="N10" s="16">
        <f t="shared" si="2"/>
        <v>3.0956387278673976E-8</v>
      </c>
      <c r="O10" s="16">
        <f t="shared" si="2"/>
        <v>1.0258861139794154E-7</v>
      </c>
      <c r="P10" s="16">
        <f t="shared" si="2"/>
        <v>3.1420905597268448E-7</v>
      </c>
      <c r="Q10" s="16">
        <f t="shared" si="2"/>
        <v>8.9471698276654287E-7</v>
      </c>
      <c r="R10" s="16">
        <f t="shared" si="2"/>
        <v>2.380789009505987E-6</v>
      </c>
      <c r="S10" s="16">
        <f t="shared" si="2"/>
        <v>5.9464563139761157E-6</v>
      </c>
      <c r="T10" s="16">
        <f t="shared" si="2"/>
        <v>1.3995769733483547E-5</v>
      </c>
      <c r="U10" s="16">
        <f t="shared" si="2"/>
        <v>3.1148797504820016E-5</v>
      </c>
      <c r="V10" s="16">
        <f t="shared" si="2"/>
        <v>6.5755724344829854E-5</v>
      </c>
      <c r="W10" s="16">
        <f t="shared" si="2"/>
        <v>1.3203153994720206E-4</v>
      </c>
      <c r="X10" s="16">
        <f t="shared" si="2"/>
        <v>2.5279012631059493E-4</v>
      </c>
      <c r="Y10" s="16">
        <f t="shared" si="2"/>
        <v>4.6255789038591864E-4</v>
      </c>
      <c r="Z10" s="16">
        <f t="shared" si="2"/>
        <v>8.1057506749270198E-4</v>
      </c>
      <c r="AA10" s="16">
        <f t="shared" si="2"/>
        <v>1.3628958272835082E-3</v>
      </c>
      <c r="AB10" s="16">
        <f t="shared" si="2"/>
        <v>2.2025630997056021E-3</v>
      </c>
      <c r="AC10" s="16">
        <f t="shared" si="2"/>
        <v>3.4267713429273088E-3</v>
      </c>
      <c r="AD10" s="16">
        <f t="shared" si="2"/>
        <v>5.140143628470443E-3</v>
      </c>
      <c r="AE10" s="16">
        <f t="shared" si="2"/>
        <v>7.4437925501804562E-3</v>
      </c>
      <c r="AF10" s="16">
        <f t="shared" si="2"/>
        <v>1.042067420740414E-2</v>
      </c>
      <c r="AG10" s="16">
        <f t="shared" si="2"/>
        <v>1.4118742160806757E-2</v>
      </c>
      <c r="AH10" s="16">
        <f t="shared" si="2"/>
        <v>1.8534335456930975E-2</v>
      </c>
      <c r="AI10" s="16">
        <f t="shared" si="2"/>
        <v>2.3598825236984922E-2</v>
      </c>
      <c r="AJ10" s="16">
        <f t="shared" si="2"/>
        <v>2.9171569878442515E-2</v>
      </c>
      <c r="AK10" s="16">
        <f t="shared" si="2"/>
        <v>3.5041576273205768E-2</v>
      </c>
      <c r="AL10" s="16">
        <f t="shared" si="2"/>
        <v>4.0938988719993602E-2</v>
      </c>
      <c r="AM10" s="16">
        <f t="shared" si="2"/>
        <v>4.6555852488424143E-2</v>
      </c>
      <c r="AN10" s="16">
        <f t="shared" si="2"/>
        <v>5.1573875606565532E-2</v>
      </c>
      <c r="AO10" s="16">
        <f t="shared" si="2"/>
        <v>5.5695524749718679E-2</v>
      </c>
      <c r="AP10" s="16">
        <f t="shared" si="2"/>
        <v>5.8674058042897055E-2</v>
      </c>
      <c r="AQ10" s="16">
        <f t="shared" si="2"/>
        <v>6.0338187397390247E-2</v>
      </c>
      <c r="AR10" s="16">
        <f t="shared" si="2"/>
        <v>6.060795179280138E-2</v>
      </c>
      <c r="AS10" s="16">
        <f t="shared" si="2"/>
        <v>5.9499866566565897E-2</v>
      </c>
      <c r="AT10" s="16">
        <f t="shared" si="2"/>
        <v>5.7121167051108257E-2</v>
      </c>
      <c r="AU10" s="16">
        <f t="shared" si="2"/>
        <v>5.3654627630493522E-2</v>
      </c>
      <c r="AV10" s="16">
        <f t="shared" si="2"/>
        <v>4.9336701331472999E-2</v>
      </c>
      <c r="AW10" s="16">
        <f t="shared" si="2"/>
        <v>4.4432398617369508E-2</v>
      </c>
      <c r="AX10" s="16">
        <f t="shared" si="2"/>
        <v>3.9210359353584551E-2</v>
      </c>
      <c r="AY10" s="16">
        <f t="shared" si="2"/>
        <v>3.3921054604292081E-2</v>
      </c>
      <c r="AZ10" s="16">
        <f t="shared" si="2"/>
        <v>2.8780164084091574E-2</v>
      </c>
      <c r="BA10" s="16">
        <f t="shared" si="2"/>
        <v>2.3958129114340199E-2</v>
      </c>
      <c r="BB10" s="16">
        <f t="shared" si="2"/>
        <v>1.9575885107929635E-2</v>
      </c>
      <c r="BC10" s="16">
        <f t="shared" si="2"/>
        <v>1.5705985532089486E-2</v>
      </c>
      <c r="BD10" s="16">
        <f t="shared" si="2"/>
        <v>1.237782404897452E-2</v>
      </c>
      <c r="BE10" s="16">
        <f t="shared" si="2"/>
        <v>9.5854561664644091E-3</v>
      </c>
      <c r="BF10" s="16">
        <f t="shared" si="2"/>
        <v>7.2965742084080097E-3</v>
      </c>
      <c r="BG10" s="16">
        <f t="shared" si="2"/>
        <v>5.461424839589204E-3</v>
      </c>
      <c r="BH10" s="16">
        <f t="shared" si="2"/>
        <v>4.0207917289478735E-3</v>
      </c>
      <c r="BI10" s="16">
        <f t="shared" si="2"/>
        <v>2.9125202710969453E-3</v>
      </c>
      <c r="BJ10" s="16">
        <f t="shared" si="2"/>
        <v>2.0763790164229239E-3</v>
      </c>
      <c r="BK10" s="16">
        <f t="shared" si="2"/>
        <v>1.457299433334353E-3</v>
      </c>
      <c r="BL10" s="16">
        <f t="shared" si="2"/>
        <v>1.007199546134514E-3</v>
      </c>
      <c r="BM10" s="16">
        <f t="shared" si="2"/>
        <v>6.8568232599443854E-4</v>
      </c>
      <c r="BN10" s="16">
        <f t="shared" si="2"/>
        <v>4.5992128755473232E-4</v>
      </c>
      <c r="BO10" s="16">
        <f t="shared" si="2"/>
        <v>3.0402272382166801E-4</v>
      </c>
      <c r="BP10" s="16">
        <f t="shared" si="2"/>
        <v>1.9810526670924005E-4</v>
      </c>
      <c r="BQ10" s="16">
        <f t="shared" ref="BQ10:CY10" si="3">BP10*(BQ11+$E$7-1)/(BQ11*(1+$E$8))</f>
        <v>1.2727868103047611E-4</v>
      </c>
      <c r="BR10" s="16">
        <f t="shared" si="3"/>
        <v>8.0646238432374864E-5</v>
      </c>
      <c r="BS10" s="16">
        <f t="shared" si="3"/>
        <v>5.0405456527525008E-5</v>
      </c>
      <c r="BT10" s="16">
        <f t="shared" si="3"/>
        <v>3.1083458630232466E-5</v>
      </c>
      <c r="BU10" s="16">
        <f t="shared" si="3"/>
        <v>1.8916035665424546E-5</v>
      </c>
      <c r="BV10" s="16">
        <f t="shared" si="3"/>
        <v>1.1362345376260305E-5</v>
      </c>
      <c r="BW10" s="16">
        <f t="shared" si="3"/>
        <v>6.7379613340884186E-6</v>
      </c>
      <c r="BX10" s="16">
        <f t="shared" si="3"/>
        <v>3.9454352940591516E-6</v>
      </c>
      <c r="BY10" s="16">
        <f t="shared" si="3"/>
        <v>2.2816454342365362E-6</v>
      </c>
      <c r="BZ10" s="16">
        <f t="shared" si="3"/>
        <v>1.3033677131778627E-6</v>
      </c>
      <c r="CA10" s="16">
        <f t="shared" si="3"/>
        <v>7.3557673155525601E-7</v>
      </c>
      <c r="CB10" s="16">
        <f t="shared" si="3"/>
        <v>4.1020964040854997E-7</v>
      </c>
      <c r="CC10" s="16">
        <f t="shared" si="3"/>
        <v>2.2608580313864625E-7</v>
      </c>
      <c r="CD10" s="16">
        <f t="shared" si="3"/>
        <v>1.23168910581675E-7</v>
      </c>
      <c r="CE10" s="16">
        <f t="shared" si="3"/>
        <v>6.6337380917734571E-8</v>
      </c>
      <c r="CF10" s="16">
        <f t="shared" si="3"/>
        <v>3.532744761756878E-8</v>
      </c>
      <c r="CG10" s="16">
        <f t="shared" si="3"/>
        <v>1.8604952371138353E-8</v>
      </c>
      <c r="CH10" s="16">
        <f t="shared" si="3"/>
        <v>9.6910595887829293E-9</v>
      </c>
      <c r="CI10" s="16">
        <f t="shared" si="3"/>
        <v>4.9934747483305464E-9</v>
      </c>
      <c r="CJ10" s="16">
        <f t="shared" si="3"/>
        <v>2.5455659097978967E-9</v>
      </c>
      <c r="CK10" s="16">
        <f t="shared" si="3"/>
        <v>1.2840303577720712E-9</v>
      </c>
      <c r="CL10" s="16">
        <f t="shared" si="3"/>
        <v>6.409643403480767E-10</v>
      </c>
      <c r="CM10" s="16">
        <f t="shared" si="3"/>
        <v>3.1667728274104982E-10</v>
      </c>
      <c r="CN10" s="16">
        <f t="shared" si="3"/>
        <v>1.5487451280633504E-10</v>
      </c>
      <c r="CO10" s="16">
        <f t="shared" si="3"/>
        <v>7.4985498702712539E-11</v>
      </c>
      <c r="CP10" s="16">
        <f t="shared" si="3"/>
        <v>3.594694420241084E-11</v>
      </c>
      <c r="CQ10" s="16">
        <f t="shared" si="3"/>
        <v>1.7064200189469036E-11</v>
      </c>
      <c r="CR10" s="16">
        <f t="shared" si="3"/>
        <v>8.0223191423862819E-12</v>
      </c>
      <c r="CS10" s="16">
        <f t="shared" si="3"/>
        <v>3.7355421841810199E-12</v>
      </c>
      <c r="CT10" s="16">
        <f t="shared" si="3"/>
        <v>1.7230412746833874E-12</v>
      </c>
      <c r="CU10" s="16">
        <f t="shared" si="3"/>
        <v>7.873605070353071E-13</v>
      </c>
      <c r="CV10" s="16">
        <f t="shared" si="3"/>
        <v>3.5647910044733871E-13</v>
      </c>
      <c r="CW10" s="16">
        <f t="shared" si="3"/>
        <v>1.599273134488166E-13</v>
      </c>
      <c r="CX10" s="16">
        <f t="shared" si="3"/>
        <v>7.1102360689074922E-14</v>
      </c>
      <c r="CY10" s="16">
        <f t="shared" si="3"/>
        <v>3.1330114893197784E-14</v>
      </c>
      <c r="CZ10" s="16"/>
    </row>
    <row r="11" spans="1:104" x14ac:dyDescent="0.3">
      <c r="C11" s="15">
        <v>0</v>
      </c>
      <c r="D11" s="15">
        <v>1</v>
      </c>
      <c r="E11" s="15">
        <v>2</v>
      </c>
      <c r="F11" s="15">
        <v>3</v>
      </c>
      <c r="G11" s="15">
        <v>4</v>
      </c>
      <c r="H11" s="15">
        <v>5</v>
      </c>
      <c r="I11" s="15">
        <v>6</v>
      </c>
      <c r="J11" s="15">
        <v>7</v>
      </c>
      <c r="K11" s="15">
        <v>8</v>
      </c>
      <c r="L11" s="15">
        <v>9</v>
      </c>
      <c r="M11" s="15">
        <v>10</v>
      </c>
      <c r="N11" s="15">
        <v>11</v>
      </c>
      <c r="O11" s="15">
        <v>12</v>
      </c>
      <c r="P11" s="15">
        <v>13</v>
      </c>
      <c r="Q11" s="15">
        <v>14</v>
      </c>
      <c r="R11" s="15">
        <v>15</v>
      </c>
      <c r="S11" s="15">
        <v>16</v>
      </c>
      <c r="T11" s="15">
        <v>17</v>
      </c>
      <c r="U11" s="15">
        <v>18</v>
      </c>
      <c r="V11" s="15">
        <v>19</v>
      </c>
      <c r="W11" s="15">
        <v>20</v>
      </c>
      <c r="X11" s="15">
        <v>21</v>
      </c>
      <c r="Y11" s="15">
        <v>22</v>
      </c>
      <c r="Z11" s="15">
        <v>23</v>
      </c>
      <c r="AA11" s="15">
        <v>24</v>
      </c>
      <c r="AB11" s="15">
        <v>25</v>
      </c>
      <c r="AC11" s="15">
        <v>26</v>
      </c>
      <c r="AD11" s="15">
        <v>27</v>
      </c>
      <c r="AE11" s="15">
        <v>28</v>
      </c>
      <c r="AF11" s="15">
        <v>29</v>
      </c>
      <c r="AG11" s="15">
        <v>30</v>
      </c>
      <c r="AH11" s="15">
        <v>31</v>
      </c>
      <c r="AI11" s="15">
        <v>32</v>
      </c>
      <c r="AJ11" s="15">
        <v>33</v>
      </c>
      <c r="AK11" s="15">
        <v>34</v>
      </c>
      <c r="AL11" s="15">
        <v>35</v>
      </c>
      <c r="AM11" s="15">
        <v>36</v>
      </c>
      <c r="AN11" s="15">
        <v>37</v>
      </c>
      <c r="AO11" s="15">
        <v>38</v>
      </c>
      <c r="AP11" s="15">
        <v>39</v>
      </c>
      <c r="AQ11" s="15">
        <v>40</v>
      </c>
      <c r="AR11" s="15">
        <v>41</v>
      </c>
      <c r="AS11" s="15">
        <v>42</v>
      </c>
      <c r="AT11" s="15">
        <v>43</v>
      </c>
      <c r="AU11" s="15">
        <v>44</v>
      </c>
      <c r="AV11" s="15">
        <v>45</v>
      </c>
      <c r="AW11" s="15">
        <v>46</v>
      </c>
      <c r="AX11" s="15">
        <v>47</v>
      </c>
      <c r="AY11" s="15">
        <v>48</v>
      </c>
      <c r="AZ11" s="15">
        <v>49</v>
      </c>
      <c r="BA11" s="15">
        <v>50</v>
      </c>
      <c r="BB11" s="15">
        <v>51</v>
      </c>
      <c r="BC11" s="15">
        <v>52</v>
      </c>
      <c r="BD11" s="15">
        <v>53</v>
      </c>
      <c r="BE11" s="15">
        <v>54</v>
      </c>
      <c r="BF11" s="15">
        <v>55</v>
      </c>
      <c r="BG11" s="15">
        <v>56</v>
      </c>
      <c r="BH11" s="15">
        <v>57</v>
      </c>
      <c r="BI11" s="15">
        <v>58</v>
      </c>
      <c r="BJ11" s="15">
        <v>59</v>
      </c>
      <c r="BK11" s="15">
        <v>60</v>
      </c>
      <c r="BL11" s="15">
        <v>61</v>
      </c>
      <c r="BM11" s="15">
        <v>62</v>
      </c>
      <c r="BN11" s="15">
        <v>63</v>
      </c>
      <c r="BO11" s="15">
        <v>64</v>
      </c>
      <c r="BP11" s="15">
        <v>65</v>
      </c>
      <c r="BQ11" s="15">
        <v>66</v>
      </c>
      <c r="BR11" s="15">
        <v>67</v>
      </c>
      <c r="BS11" s="15">
        <v>68</v>
      </c>
      <c r="BT11" s="15">
        <v>69</v>
      </c>
      <c r="BU11" s="15">
        <v>70</v>
      </c>
      <c r="BV11" s="15">
        <v>71</v>
      </c>
      <c r="BW11" s="15">
        <v>72</v>
      </c>
      <c r="BX11" s="15">
        <v>73</v>
      </c>
      <c r="BY11" s="15">
        <v>74</v>
      </c>
      <c r="BZ11" s="15">
        <v>75</v>
      </c>
      <c r="CA11" s="15">
        <v>76</v>
      </c>
      <c r="CB11" s="15">
        <v>77</v>
      </c>
      <c r="CC11" s="15">
        <v>78</v>
      </c>
      <c r="CD11" s="15">
        <v>79</v>
      </c>
      <c r="CE11" s="15">
        <v>80</v>
      </c>
      <c r="CF11" s="15">
        <v>81</v>
      </c>
      <c r="CG11" s="15">
        <v>82</v>
      </c>
      <c r="CH11" s="15">
        <v>83</v>
      </c>
      <c r="CI11" s="15">
        <v>84</v>
      </c>
      <c r="CJ11" s="15">
        <v>85</v>
      </c>
      <c r="CK11" s="15">
        <v>86</v>
      </c>
      <c r="CL11" s="15">
        <v>87</v>
      </c>
      <c r="CM11" s="15">
        <v>88</v>
      </c>
      <c r="CN11" s="15">
        <v>89</v>
      </c>
      <c r="CO11" s="15">
        <v>90</v>
      </c>
      <c r="CP11" s="15">
        <v>91</v>
      </c>
      <c r="CQ11" s="15">
        <v>92</v>
      </c>
      <c r="CR11" s="15">
        <v>93</v>
      </c>
      <c r="CS11" s="15">
        <v>94</v>
      </c>
      <c r="CT11" s="15">
        <v>95</v>
      </c>
      <c r="CU11" s="15">
        <v>96</v>
      </c>
      <c r="CV11" s="15">
        <v>97</v>
      </c>
      <c r="CW11" s="15">
        <v>98</v>
      </c>
      <c r="CX11" s="15">
        <v>99</v>
      </c>
      <c r="CY11" s="15">
        <v>100</v>
      </c>
      <c r="CZ11" s="120">
        <v>101</v>
      </c>
    </row>
    <row r="12" spans="1:104" x14ac:dyDescent="0.3">
      <c r="C12" s="243" t="s">
        <v>1</v>
      </c>
      <c r="D12" s="243"/>
      <c r="E12" s="243"/>
      <c r="F12" s="243"/>
      <c r="G12" s="243"/>
      <c r="H12" s="243"/>
      <c r="I12" s="243"/>
      <c r="J12" s="243"/>
      <c r="K12" s="243"/>
      <c r="L12" s="243"/>
      <c r="M12" s="243"/>
      <c r="N12" s="243"/>
      <c r="O12" s="243"/>
      <c r="P12" s="243"/>
      <c r="Q12" s="243"/>
      <c r="R12" s="243"/>
      <c r="S12" s="243"/>
      <c r="T12" s="243"/>
      <c r="U12" s="243"/>
      <c r="V12" s="243"/>
      <c r="W12" s="243"/>
      <c r="X12" s="243"/>
      <c r="Y12" s="243"/>
      <c r="Z12" s="243"/>
      <c r="AA12" s="243"/>
      <c r="AB12" s="243"/>
      <c r="AC12" s="243"/>
      <c r="AD12" s="243"/>
      <c r="AE12" s="243"/>
      <c r="AF12" s="243"/>
      <c r="AG12" s="243"/>
      <c r="AH12" s="243"/>
      <c r="AI12" s="243"/>
      <c r="AJ12" s="243"/>
      <c r="AK12" s="243"/>
      <c r="AL12" s="243"/>
      <c r="AM12" s="243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3"/>
      <c r="BE12" s="243"/>
      <c r="BF12" s="243"/>
      <c r="BG12" s="243"/>
      <c r="BH12" s="243"/>
      <c r="BI12" s="243"/>
      <c r="BJ12" s="243"/>
      <c r="BK12" s="243"/>
      <c r="BL12" s="243"/>
      <c r="BM12" s="243"/>
      <c r="BN12" s="243"/>
      <c r="BO12" s="243"/>
      <c r="BP12" s="243"/>
      <c r="BQ12" s="243"/>
      <c r="BR12" s="243"/>
      <c r="BS12" s="243"/>
      <c r="BT12" s="243"/>
      <c r="BU12" s="243"/>
      <c r="BV12" s="243"/>
      <c r="BW12" s="243"/>
      <c r="BX12" s="243"/>
      <c r="BY12" s="243"/>
      <c r="BZ12" s="243"/>
      <c r="CA12" s="243"/>
      <c r="CB12" s="243"/>
      <c r="CC12" s="243"/>
      <c r="CD12" s="243"/>
      <c r="CE12" s="243"/>
      <c r="CF12" s="243"/>
      <c r="CG12" s="243"/>
      <c r="CH12" s="243"/>
      <c r="CI12" s="243"/>
      <c r="CJ12" s="243"/>
      <c r="CK12" s="243"/>
      <c r="CL12" s="243"/>
      <c r="CM12" s="243"/>
      <c r="CN12" s="243"/>
      <c r="CO12" s="243"/>
      <c r="CP12" s="243"/>
      <c r="CQ12" s="243"/>
      <c r="CR12" s="243"/>
      <c r="CS12" s="243"/>
      <c r="CT12" s="243"/>
      <c r="CU12" s="243"/>
      <c r="CV12" s="243"/>
      <c r="CW12" s="243"/>
      <c r="CX12" s="243"/>
      <c r="CY12" s="243"/>
      <c r="CZ12" s="243"/>
    </row>
    <row r="13" spans="1:104" x14ac:dyDescent="0.3"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</row>
    <row r="14" spans="1:104" x14ac:dyDescent="0.3"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</row>
    <row r="15" spans="1:104" x14ac:dyDescent="0.3"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</row>
    <row r="16" spans="1:104" x14ac:dyDescent="0.3"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</row>
    <row r="17" spans="1:12" x14ac:dyDescent="0.3">
      <c r="A17" s="12" t="s">
        <v>6</v>
      </c>
    </row>
    <row r="18" spans="1:12" x14ac:dyDescent="0.3">
      <c r="A18" s="12" t="s">
        <v>4</v>
      </c>
      <c r="B18" s="125">
        <f ca="1">'POISSON-LOGNORM'!B14</f>
        <v>0.45110782796476134</v>
      </c>
    </row>
    <row r="19" spans="1:12" x14ac:dyDescent="0.3">
      <c r="A19" s="12" t="s">
        <v>7</v>
      </c>
      <c r="B19" s="119">
        <f ca="1">IF(B18&lt;=C9,0,HLOOKUP(B18,C9:CZ11,3,TRUE)+1)</f>
        <v>40</v>
      </c>
    </row>
    <row r="20" spans="1:12" x14ac:dyDescent="0.3">
      <c r="A20" s="17"/>
    </row>
    <row r="23" spans="1:12" ht="15.6" x14ac:dyDescent="0.3">
      <c r="A23" s="107" t="str">
        <f>'POISSON-LOGNORM'!A19</f>
        <v>E(Y)</v>
      </c>
      <c r="B23" s="123"/>
      <c r="K23" s="3"/>
      <c r="L23" s="3"/>
    </row>
    <row r="24" spans="1:12" ht="15.6" x14ac:dyDescent="0.3">
      <c r="A24" s="107" t="str">
        <f>'POISSON-LOGNORM'!A20</f>
        <v>VAR(Y)</v>
      </c>
      <c r="B24" s="123"/>
      <c r="K24" s="3"/>
      <c r="L24" s="3"/>
    </row>
    <row r="25" spans="1:12" ht="15.6" x14ac:dyDescent="0.3">
      <c r="A25" s="107" t="str">
        <f>'POISSON-LOGNORM'!A21</f>
        <v>DS(Y)</v>
      </c>
      <c r="B25" s="123"/>
      <c r="K25" s="3"/>
      <c r="L25" s="3"/>
    </row>
    <row r="26" spans="1:12" ht="15.6" x14ac:dyDescent="0.3">
      <c r="A26" s="5"/>
      <c r="B26" s="104"/>
      <c r="I26" s="3"/>
      <c r="J26" s="3"/>
      <c r="K26" s="3"/>
      <c r="L26" s="3"/>
    </row>
    <row r="27" spans="1:12" ht="15.6" x14ac:dyDescent="0.3">
      <c r="A27" s="3"/>
      <c r="B27" s="104" t="str">
        <f>+'POISSON-LOGNORM'!B23</f>
        <v>A</v>
      </c>
      <c r="C27" s="104" t="str">
        <f>+'POISSON-LOGNORM'!C23</f>
        <v>B</v>
      </c>
      <c r="E27" s="3"/>
      <c r="F27" s="3"/>
      <c r="G27" s="3"/>
      <c r="H27" s="3"/>
      <c r="I27" s="3"/>
      <c r="J27" s="3"/>
      <c r="K27" s="3"/>
      <c r="L27" s="3"/>
    </row>
    <row r="28" spans="1:12" ht="15.6" x14ac:dyDescent="0.3">
      <c r="A28" s="5" t="s">
        <v>5</v>
      </c>
      <c r="B28" s="104"/>
      <c r="C28" s="104"/>
      <c r="F28" s="6"/>
      <c r="G28" s="3"/>
      <c r="H28" s="6"/>
      <c r="I28" s="6"/>
      <c r="J28" s="6"/>
      <c r="K28" s="6"/>
      <c r="L28" s="3"/>
    </row>
    <row r="29" spans="1:12" ht="15.6" x14ac:dyDescent="0.3">
      <c r="A29" s="3"/>
      <c r="B29" s="3"/>
      <c r="C29" s="6"/>
      <c r="D29" s="6"/>
      <c r="E29" s="6"/>
      <c r="F29" s="3"/>
      <c r="G29" s="6"/>
      <c r="H29" s="3"/>
      <c r="I29" s="6"/>
      <c r="J29" s="6"/>
      <c r="K29" s="6"/>
      <c r="L29" s="3"/>
    </row>
    <row r="30" spans="1:12" ht="15.6" x14ac:dyDescent="0.3">
      <c r="A30" s="3"/>
      <c r="D30" s="6"/>
      <c r="E30" s="14" t="s">
        <v>9</v>
      </c>
      <c r="F30" s="6"/>
      <c r="G30" s="5" t="s">
        <v>8</v>
      </c>
      <c r="H30" s="115">
        <f ca="1">SUM(E31:E130)</f>
        <v>93486.251040475996</v>
      </c>
      <c r="I30" s="6"/>
      <c r="J30" s="6"/>
      <c r="K30" s="6"/>
      <c r="L30" s="3"/>
    </row>
    <row r="31" spans="1:12" ht="15.6" x14ac:dyDescent="0.3">
      <c r="A31" s="1"/>
      <c r="B31" s="13"/>
      <c r="C31" s="1">
        <v>1</v>
      </c>
      <c r="D31" s="2">
        <f ca="1">'POISSON-LOGNORM'!D27</f>
        <v>1341.4449666240143</v>
      </c>
      <c r="E31" s="4">
        <f ca="1">IF(C31&lt;=$B$19,D31,0)</f>
        <v>1341.4449666240143</v>
      </c>
      <c r="F31" s="6"/>
      <c r="G31" s="6"/>
      <c r="H31" s="6"/>
      <c r="I31" s="6"/>
      <c r="J31" s="6"/>
      <c r="K31" s="6"/>
      <c r="L31" s="3"/>
    </row>
    <row r="32" spans="1:12" ht="15.6" x14ac:dyDescent="0.3">
      <c r="A32" s="1"/>
      <c r="B32" s="13"/>
      <c r="C32" s="11">
        <f t="shared" ref="C32:C95" si="4">+C31+1</f>
        <v>2</v>
      </c>
      <c r="D32" s="2">
        <f ca="1">'POISSON-LOGNORM'!D28</f>
        <v>3202.7699458697984</v>
      </c>
      <c r="E32" s="4">
        <f t="shared" ref="E32:E95" ca="1" si="5">IF(C32&lt;=$B$19,D32,0)</f>
        <v>3202.7699458697984</v>
      </c>
      <c r="F32" s="6"/>
      <c r="H32" s="173">
        <f ca="1">+'POISSON-LOGNORM'!H26</f>
        <v>93486.251040475996</v>
      </c>
    </row>
    <row r="33" spans="1:6" ht="15.6" x14ac:dyDescent="0.3">
      <c r="A33" s="1"/>
      <c r="B33" s="13"/>
      <c r="C33" s="11">
        <f t="shared" si="4"/>
        <v>3</v>
      </c>
      <c r="D33" s="2">
        <f ca="1">'POISSON-LOGNORM'!D29</f>
        <v>1921.1812012772205</v>
      </c>
      <c r="E33" s="4">
        <f t="shared" ca="1" si="5"/>
        <v>1921.1812012772205</v>
      </c>
      <c r="F33" s="6"/>
    </row>
    <row r="34" spans="1:6" ht="15.6" x14ac:dyDescent="0.3">
      <c r="A34" s="1"/>
      <c r="B34" s="13"/>
      <c r="C34" s="11">
        <f t="shared" si="4"/>
        <v>4</v>
      </c>
      <c r="D34" s="2">
        <f ca="1">'POISSON-LOGNORM'!D30</f>
        <v>3115.1189270550922</v>
      </c>
      <c r="E34" s="4">
        <f t="shared" ca="1" si="5"/>
        <v>3115.1189270550922</v>
      </c>
      <c r="F34" s="6"/>
    </row>
    <row r="35" spans="1:6" ht="15.6" x14ac:dyDescent="0.3">
      <c r="A35" s="1"/>
      <c r="B35" s="13"/>
      <c r="C35" s="11">
        <f t="shared" si="4"/>
        <v>5</v>
      </c>
      <c r="D35" s="2">
        <f ca="1">'POISSON-LOGNORM'!D31</f>
        <v>1763.6790425522383</v>
      </c>
      <c r="E35" s="4">
        <f t="shared" ca="1" si="5"/>
        <v>1763.6790425522383</v>
      </c>
      <c r="F35" s="6"/>
    </row>
    <row r="36" spans="1:6" ht="15.6" x14ac:dyDescent="0.3">
      <c r="A36" s="1"/>
      <c r="B36" s="13"/>
      <c r="C36" s="11">
        <f t="shared" si="4"/>
        <v>6</v>
      </c>
      <c r="D36" s="2">
        <f ca="1">'POISSON-LOGNORM'!D32</f>
        <v>2387.925858588771</v>
      </c>
      <c r="E36" s="4">
        <f t="shared" ca="1" si="5"/>
        <v>2387.925858588771</v>
      </c>
      <c r="F36" s="6"/>
    </row>
    <row r="37" spans="1:6" ht="15.6" x14ac:dyDescent="0.3">
      <c r="A37" s="1"/>
      <c r="B37" s="13"/>
      <c r="C37" s="11">
        <f t="shared" si="4"/>
        <v>7</v>
      </c>
      <c r="D37" s="2">
        <f ca="1">'POISSON-LOGNORM'!D33</f>
        <v>2498.6632065006816</v>
      </c>
      <c r="E37" s="4">
        <f t="shared" ca="1" si="5"/>
        <v>2498.6632065006816</v>
      </c>
      <c r="F37" s="6"/>
    </row>
    <row r="38" spans="1:6" ht="15.6" x14ac:dyDescent="0.3">
      <c r="A38" s="1"/>
      <c r="B38" s="13"/>
      <c r="C38" s="11">
        <f t="shared" si="4"/>
        <v>8</v>
      </c>
      <c r="D38" s="2">
        <f ca="1">'POISSON-LOGNORM'!D34</f>
        <v>2006.9042967018479</v>
      </c>
      <c r="E38" s="4">
        <f t="shared" ca="1" si="5"/>
        <v>2006.9042967018479</v>
      </c>
      <c r="F38" s="6"/>
    </row>
    <row r="39" spans="1:6" ht="15.6" x14ac:dyDescent="0.3">
      <c r="A39" s="1"/>
      <c r="B39" s="13"/>
      <c r="C39" s="11">
        <f t="shared" si="4"/>
        <v>9</v>
      </c>
      <c r="D39" s="2">
        <f ca="1">'POISSON-LOGNORM'!D35</f>
        <v>2181.4883236412493</v>
      </c>
      <c r="E39" s="4">
        <f t="shared" ca="1" si="5"/>
        <v>2181.4883236412493</v>
      </c>
      <c r="F39" s="6"/>
    </row>
    <row r="40" spans="1:6" ht="15.6" x14ac:dyDescent="0.3">
      <c r="A40" s="1"/>
      <c r="B40" s="13"/>
      <c r="C40" s="11">
        <f t="shared" si="4"/>
        <v>10</v>
      </c>
      <c r="D40" s="2">
        <f ca="1">'POISSON-LOGNORM'!D36</f>
        <v>2178.1512683950282</v>
      </c>
      <c r="E40" s="4">
        <f t="shared" ca="1" si="5"/>
        <v>2178.1512683950282</v>
      </c>
      <c r="F40" s="6"/>
    </row>
    <row r="41" spans="1:6" ht="15.6" x14ac:dyDescent="0.3">
      <c r="A41" s="1"/>
      <c r="B41" s="13"/>
      <c r="C41" s="11">
        <f t="shared" si="4"/>
        <v>11</v>
      </c>
      <c r="D41" s="2">
        <f ca="1">'POISSON-LOGNORM'!D37</f>
        <v>4249.297424570871</v>
      </c>
      <c r="E41" s="4">
        <f t="shared" ca="1" si="5"/>
        <v>4249.297424570871</v>
      </c>
    </row>
    <row r="42" spans="1:6" ht="15.6" x14ac:dyDescent="0.3">
      <c r="A42" s="1"/>
      <c r="B42" s="13"/>
      <c r="C42" s="11">
        <f t="shared" si="4"/>
        <v>12</v>
      </c>
      <c r="D42" s="2">
        <f ca="1">'POISSON-LOGNORM'!D38</f>
        <v>3568.5896810454624</v>
      </c>
      <c r="E42" s="4">
        <f t="shared" ca="1" si="5"/>
        <v>3568.5896810454624</v>
      </c>
    </row>
    <row r="43" spans="1:6" ht="15.6" x14ac:dyDescent="0.3">
      <c r="A43" s="1"/>
      <c r="B43" s="13"/>
      <c r="C43" s="11">
        <f t="shared" si="4"/>
        <v>13</v>
      </c>
      <c r="D43" s="2">
        <f ca="1">'POISSON-LOGNORM'!D39</f>
        <v>3226.3237901684411</v>
      </c>
      <c r="E43" s="4">
        <f t="shared" ca="1" si="5"/>
        <v>3226.3237901684411</v>
      </c>
    </row>
    <row r="44" spans="1:6" ht="15.6" x14ac:dyDescent="0.3">
      <c r="A44" s="1"/>
      <c r="B44" s="13"/>
      <c r="C44" s="11">
        <f t="shared" si="4"/>
        <v>14</v>
      </c>
      <c r="D44" s="2">
        <f ca="1">'POISSON-LOGNORM'!D40</f>
        <v>2005.0541574110182</v>
      </c>
      <c r="E44" s="4">
        <f t="shared" ca="1" si="5"/>
        <v>2005.0541574110182</v>
      </c>
    </row>
    <row r="45" spans="1:6" ht="15.6" x14ac:dyDescent="0.3">
      <c r="A45" s="1"/>
      <c r="B45" s="13"/>
      <c r="C45" s="11">
        <f t="shared" si="4"/>
        <v>15</v>
      </c>
      <c r="D45" s="2">
        <f ca="1">'POISSON-LOGNORM'!D41</f>
        <v>1470.0362828589432</v>
      </c>
      <c r="E45" s="4">
        <f t="shared" ca="1" si="5"/>
        <v>1470.0362828589432</v>
      </c>
    </row>
    <row r="46" spans="1:6" ht="15.6" x14ac:dyDescent="0.3">
      <c r="A46" s="1"/>
      <c r="B46" s="13"/>
      <c r="C46" s="11">
        <f t="shared" si="4"/>
        <v>16</v>
      </c>
      <c r="D46" s="2">
        <f ca="1">'POISSON-LOGNORM'!D42</f>
        <v>1481.2504016165105</v>
      </c>
      <c r="E46" s="4">
        <f t="shared" ca="1" si="5"/>
        <v>1481.2504016165105</v>
      </c>
    </row>
    <row r="47" spans="1:6" ht="15.6" x14ac:dyDescent="0.3">
      <c r="A47" s="1"/>
      <c r="B47" s="13"/>
      <c r="C47" s="11">
        <f t="shared" si="4"/>
        <v>17</v>
      </c>
      <c r="D47" s="2">
        <f ca="1">'POISSON-LOGNORM'!D43</f>
        <v>1954.3084272708884</v>
      </c>
      <c r="E47" s="4">
        <f t="shared" ca="1" si="5"/>
        <v>1954.3084272708884</v>
      </c>
    </row>
    <row r="48" spans="1:6" ht="15.6" x14ac:dyDescent="0.3">
      <c r="A48" s="1"/>
      <c r="B48" s="13"/>
      <c r="C48" s="11">
        <f t="shared" si="4"/>
        <v>18</v>
      </c>
      <c r="D48" s="2">
        <f ca="1">'POISSON-LOGNORM'!D44</f>
        <v>2047.9196765773479</v>
      </c>
      <c r="E48" s="4">
        <f t="shared" ca="1" si="5"/>
        <v>2047.9196765773479</v>
      </c>
    </row>
    <row r="49" spans="1:5" ht="15.6" x14ac:dyDescent="0.3">
      <c r="A49" s="1"/>
      <c r="B49" s="13"/>
      <c r="C49" s="11">
        <f t="shared" si="4"/>
        <v>19</v>
      </c>
      <c r="D49" s="2">
        <f ca="1">'POISSON-LOGNORM'!D45</f>
        <v>3042.8043296746996</v>
      </c>
      <c r="E49" s="4">
        <f t="shared" ca="1" si="5"/>
        <v>3042.8043296746996</v>
      </c>
    </row>
    <row r="50" spans="1:5" ht="15.6" x14ac:dyDescent="0.3">
      <c r="A50" s="1"/>
      <c r="B50" s="13"/>
      <c r="C50" s="11">
        <f t="shared" si="4"/>
        <v>20</v>
      </c>
      <c r="D50" s="2">
        <f ca="1">'POISSON-LOGNORM'!D46</f>
        <v>2354.6349488436613</v>
      </c>
      <c r="E50" s="4">
        <f t="shared" ca="1" si="5"/>
        <v>2354.6349488436613</v>
      </c>
    </row>
    <row r="51" spans="1:5" ht="15.6" x14ac:dyDescent="0.3">
      <c r="A51" s="1"/>
      <c r="B51" s="13"/>
      <c r="C51" s="11">
        <f t="shared" si="4"/>
        <v>21</v>
      </c>
      <c r="D51" s="2">
        <f ca="1">'POISSON-LOGNORM'!D47</f>
        <v>2476.5085983294689</v>
      </c>
      <c r="E51" s="4">
        <f t="shared" ca="1" si="5"/>
        <v>2476.5085983294689</v>
      </c>
    </row>
    <row r="52" spans="1:5" ht="15.6" x14ac:dyDescent="0.3">
      <c r="A52" s="1"/>
      <c r="B52" s="13"/>
      <c r="C52" s="11">
        <f t="shared" si="4"/>
        <v>22</v>
      </c>
      <c r="D52" s="2">
        <f ca="1">'POISSON-LOGNORM'!D48</f>
        <v>2131.938734028176</v>
      </c>
      <c r="E52" s="4">
        <f t="shared" ca="1" si="5"/>
        <v>2131.938734028176</v>
      </c>
    </row>
    <row r="53" spans="1:5" ht="15.6" x14ac:dyDescent="0.3">
      <c r="A53" s="1"/>
      <c r="B53" s="13"/>
      <c r="C53" s="11">
        <f t="shared" si="4"/>
        <v>23</v>
      </c>
      <c r="D53" s="2">
        <f ca="1">'POISSON-LOGNORM'!D49</f>
        <v>3261.8280089661876</v>
      </c>
      <c r="E53" s="4">
        <f t="shared" ca="1" si="5"/>
        <v>3261.8280089661876</v>
      </c>
    </row>
    <row r="54" spans="1:5" ht="15.6" x14ac:dyDescent="0.3">
      <c r="A54" s="1"/>
      <c r="B54" s="13"/>
      <c r="C54" s="11">
        <f t="shared" si="4"/>
        <v>24</v>
      </c>
      <c r="D54" s="2">
        <f ca="1">'POISSON-LOGNORM'!D50</f>
        <v>1165.8508748080405</v>
      </c>
      <c r="E54" s="4">
        <f t="shared" ca="1" si="5"/>
        <v>1165.8508748080405</v>
      </c>
    </row>
    <row r="55" spans="1:5" ht="15.6" x14ac:dyDescent="0.3">
      <c r="A55" s="1"/>
      <c r="B55" s="13"/>
      <c r="C55" s="11">
        <f t="shared" si="4"/>
        <v>25</v>
      </c>
      <c r="D55" s="2">
        <f ca="1">'POISSON-LOGNORM'!D51</f>
        <v>2625.0463985215265</v>
      </c>
      <c r="E55" s="4">
        <f t="shared" ca="1" si="5"/>
        <v>2625.0463985215265</v>
      </c>
    </row>
    <row r="56" spans="1:5" ht="15.6" x14ac:dyDescent="0.3">
      <c r="A56" s="1"/>
      <c r="B56" s="13"/>
      <c r="C56" s="11">
        <f t="shared" si="4"/>
        <v>26</v>
      </c>
      <c r="D56" s="2">
        <f ca="1">'POISSON-LOGNORM'!D52</f>
        <v>1683.626189911754</v>
      </c>
      <c r="E56" s="4">
        <f t="shared" ca="1" si="5"/>
        <v>1683.626189911754</v>
      </c>
    </row>
    <row r="57" spans="1:5" ht="15.6" x14ac:dyDescent="0.3">
      <c r="A57" s="1"/>
      <c r="B57" s="13"/>
      <c r="C57" s="11">
        <f t="shared" si="4"/>
        <v>27</v>
      </c>
      <c r="D57" s="2">
        <f ca="1">'POISSON-LOGNORM'!D53</f>
        <v>4226.4367042045351</v>
      </c>
      <c r="E57" s="4">
        <f t="shared" ca="1" si="5"/>
        <v>4226.4367042045351</v>
      </c>
    </row>
    <row r="58" spans="1:5" ht="15.6" x14ac:dyDescent="0.3">
      <c r="A58" s="1"/>
      <c r="B58" s="13"/>
      <c r="C58" s="11">
        <f t="shared" si="4"/>
        <v>28</v>
      </c>
      <c r="D58" s="2">
        <f ca="1">'POISSON-LOGNORM'!D54</f>
        <v>1767.7420854501611</v>
      </c>
      <c r="E58" s="4">
        <f t="shared" ca="1" si="5"/>
        <v>1767.7420854501611</v>
      </c>
    </row>
    <row r="59" spans="1:5" ht="15.6" x14ac:dyDescent="0.3">
      <c r="A59" s="1"/>
      <c r="B59" s="13"/>
      <c r="C59" s="11">
        <f t="shared" si="4"/>
        <v>29</v>
      </c>
      <c r="D59" s="2">
        <f ca="1">'POISSON-LOGNORM'!D55</f>
        <v>2913.295413901496</v>
      </c>
      <c r="E59" s="4">
        <f t="shared" ca="1" si="5"/>
        <v>2913.295413901496</v>
      </c>
    </row>
    <row r="60" spans="1:5" ht="15.6" x14ac:dyDescent="0.3">
      <c r="A60" s="1"/>
      <c r="B60" s="13"/>
      <c r="C60" s="11">
        <f t="shared" si="4"/>
        <v>30</v>
      </c>
      <c r="D60" s="2">
        <f ca="1">'POISSON-LOGNORM'!D56</f>
        <v>3318.1722082232632</v>
      </c>
      <c r="E60" s="4">
        <f t="shared" ca="1" si="5"/>
        <v>3318.1722082232632</v>
      </c>
    </row>
    <row r="61" spans="1:5" ht="15.6" x14ac:dyDescent="0.3">
      <c r="A61" s="1"/>
      <c r="B61" s="13"/>
      <c r="C61" s="11">
        <f t="shared" si="4"/>
        <v>31</v>
      </c>
      <c r="D61" s="2">
        <f ca="1">'POISSON-LOGNORM'!D57</f>
        <v>1473.9073776549956</v>
      </c>
      <c r="E61" s="4">
        <f t="shared" ca="1" si="5"/>
        <v>1473.9073776549956</v>
      </c>
    </row>
    <row r="62" spans="1:5" ht="15.6" x14ac:dyDescent="0.3">
      <c r="A62" s="1"/>
      <c r="B62" s="13"/>
      <c r="C62" s="11">
        <f t="shared" si="4"/>
        <v>32</v>
      </c>
      <c r="D62" s="2">
        <f ca="1">'POISSON-LOGNORM'!D58</f>
        <v>2035.0612199829866</v>
      </c>
      <c r="E62" s="4">
        <f t="shared" ca="1" si="5"/>
        <v>2035.0612199829866</v>
      </c>
    </row>
    <row r="63" spans="1:5" ht="15.6" x14ac:dyDescent="0.3">
      <c r="A63" s="1"/>
      <c r="B63" s="13"/>
      <c r="C63" s="11">
        <f t="shared" si="4"/>
        <v>33</v>
      </c>
      <c r="D63" s="2">
        <f ca="1">'POISSON-LOGNORM'!D59</f>
        <v>2031.9885113231892</v>
      </c>
      <c r="E63" s="4">
        <f t="shared" ca="1" si="5"/>
        <v>2031.9885113231892</v>
      </c>
    </row>
    <row r="64" spans="1:5" ht="15.6" x14ac:dyDescent="0.3">
      <c r="A64" s="1"/>
      <c r="B64" s="13"/>
      <c r="C64" s="11">
        <f t="shared" si="4"/>
        <v>34</v>
      </c>
      <c r="D64" s="2">
        <f ca="1">'POISSON-LOGNORM'!D60</f>
        <v>2467.9616303827975</v>
      </c>
      <c r="E64" s="4">
        <f t="shared" ca="1" si="5"/>
        <v>2467.9616303827975</v>
      </c>
    </row>
    <row r="65" spans="1:5" ht="15.6" x14ac:dyDescent="0.3">
      <c r="A65" s="1"/>
      <c r="B65" s="13"/>
      <c r="C65" s="11">
        <f t="shared" si="4"/>
        <v>35</v>
      </c>
      <c r="D65" s="2">
        <f ca="1">'POISSON-LOGNORM'!D61</f>
        <v>2106.4435052346771</v>
      </c>
      <c r="E65" s="4">
        <f t="shared" ca="1" si="5"/>
        <v>2106.4435052346771</v>
      </c>
    </row>
    <row r="66" spans="1:5" ht="15.6" x14ac:dyDescent="0.3">
      <c r="A66" s="1"/>
      <c r="B66" s="13"/>
      <c r="C66" s="11">
        <f t="shared" si="4"/>
        <v>36</v>
      </c>
      <c r="D66" s="2">
        <f ca="1">'POISSON-LOGNORM'!D62</f>
        <v>2395.9632692799833</v>
      </c>
      <c r="E66" s="4">
        <f t="shared" ca="1" si="5"/>
        <v>2395.9632692799833</v>
      </c>
    </row>
    <row r="67" spans="1:5" ht="15.6" x14ac:dyDescent="0.3">
      <c r="A67" s="1"/>
      <c r="B67" s="13"/>
      <c r="C67" s="11">
        <f t="shared" si="4"/>
        <v>37</v>
      </c>
      <c r="D67" s="2">
        <f ca="1">'POISSON-LOGNORM'!D63</f>
        <v>1631.3552467212428</v>
      </c>
      <c r="E67" s="4">
        <f t="shared" ca="1" si="5"/>
        <v>1631.3552467212428</v>
      </c>
    </row>
    <row r="68" spans="1:5" ht="15.6" x14ac:dyDescent="0.3">
      <c r="A68" s="1"/>
      <c r="B68" s="13"/>
      <c r="C68" s="11">
        <f t="shared" si="4"/>
        <v>38</v>
      </c>
      <c r="D68" s="2">
        <f ca="1">'POISSON-LOGNORM'!D64</f>
        <v>2290.2087968428623</v>
      </c>
      <c r="E68" s="4">
        <f t="shared" ca="1" si="5"/>
        <v>2290.2087968428623</v>
      </c>
    </row>
    <row r="69" spans="1:5" ht="15.6" x14ac:dyDescent="0.3">
      <c r="A69" s="1"/>
      <c r="B69" s="13"/>
      <c r="C69" s="11">
        <f t="shared" si="4"/>
        <v>39</v>
      </c>
      <c r="D69" s="2">
        <f ca="1">'POISSON-LOGNORM'!D65</f>
        <v>1902.1676022092056</v>
      </c>
      <c r="E69" s="4">
        <f t="shared" ca="1" si="5"/>
        <v>1902.1676022092056</v>
      </c>
    </row>
    <row r="70" spans="1:5" ht="15.6" x14ac:dyDescent="0.3">
      <c r="A70" s="1"/>
      <c r="B70" s="13"/>
      <c r="C70" s="11">
        <f t="shared" si="4"/>
        <v>40</v>
      </c>
      <c r="D70" s="2">
        <f ca="1">'POISSON-LOGNORM'!D66</f>
        <v>1583.2025072556924</v>
      </c>
      <c r="E70" s="4">
        <f t="shared" ca="1" si="5"/>
        <v>1583.2025072556924</v>
      </c>
    </row>
    <row r="71" spans="1:5" ht="15.6" x14ac:dyDescent="0.3">
      <c r="A71" s="1"/>
      <c r="B71" s="13"/>
      <c r="C71" s="11">
        <f t="shared" si="4"/>
        <v>41</v>
      </c>
      <c r="D71" s="2">
        <f ca="1">'POISSON-LOGNORM'!D67</f>
        <v>1893.0601063005133</v>
      </c>
      <c r="E71" s="4">
        <f t="shared" ca="1" si="5"/>
        <v>0</v>
      </c>
    </row>
    <row r="72" spans="1:5" ht="15.6" x14ac:dyDescent="0.3">
      <c r="A72" s="1"/>
      <c r="B72" s="13"/>
      <c r="C72" s="11">
        <f t="shared" si="4"/>
        <v>42</v>
      </c>
      <c r="D72" s="2">
        <f ca="1">'POISSON-LOGNORM'!D68</f>
        <v>3331.3463139859596</v>
      </c>
      <c r="E72" s="4">
        <f t="shared" ca="1" si="5"/>
        <v>0</v>
      </c>
    </row>
    <row r="73" spans="1:5" ht="15.6" x14ac:dyDescent="0.3">
      <c r="A73" s="1"/>
      <c r="B73" s="13"/>
      <c r="C73" s="11">
        <f t="shared" si="4"/>
        <v>43</v>
      </c>
      <c r="D73" s="2">
        <f ca="1">'POISSON-LOGNORM'!D69</f>
        <v>1521.6431132704577</v>
      </c>
      <c r="E73" s="4">
        <f t="shared" ca="1" si="5"/>
        <v>0</v>
      </c>
    </row>
    <row r="74" spans="1:5" ht="15.6" x14ac:dyDescent="0.3">
      <c r="A74" s="1"/>
      <c r="B74" s="13"/>
      <c r="C74" s="11">
        <f t="shared" si="4"/>
        <v>44</v>
      </c>
      <c r="D74" s="2">
        <f ca="1">'POISSON-LOGNORM'!D70</f>
        <v>1945.7204050987764</v>
      </c>
      <c r="E74" s="4">
        <f t="shared" ca="1" si="5"/>
        <v>0</v>
      </c>
    </row>
    <row r="75" spans="1:5" ht="15.6" x14ac:dyDescent="0.3">
      <c r="A75" s="1"/>
      <c r="B75" s="13"/>
      <c r="C75" s="11">
        <f t="shared" si="4"/>
        <v>45</v>
      </c>
      <c r="D75" s="2">
        <f ca="1">'POISSON-LOGNORM'!D71</f>
        <v>2803.115972378298</v>
      </c>
      <c r="E75" s="4">
        <f t="shared" ca="1" si="5"/>
        <v>0</v>
      </c>
    </row>
    <row r="76" spans="1:5" ht="15.6" x14ac:dyDescent="0.3">
      <c r="A76" s="1"/>
      <c r="B76" s="13"/>
      <c r="C76" s="11">
        <f t="shared" si="4"/>
        <v>46</v>
      </c>
      <c r="D76" s="2">
        <f ca="1">'POISSON-LOGNORM'!D72</f>
        <v>3338.3239642232602</v>
      </c>
      <c r="E76" s="4">
        <f t="shared" ca="1" si="5"/>
        <v>0</v>
      </c>
    </row>
    <row r="77" spans="1:5" ht="15.6" x14ac:dyDescent="0.3">
      <c r="A77" s="1"/>
      <c r="B77" s="13"/>
      <c r="C77" s="11">
        <f t="shared" si="4"/>
        <v>47</v>
      </c>
      <c r="D77" s="2">
        <f ca="1">'POISSON-LOGNORM'!D73</f>
        <v>1529.5530176072548</v>
      </c>
      <c r="E77" s="4">
        <f t="shared" ca="1" si="5"/>
        <v>0</v>
      </c>
    </row>
    <row r="78" spans="1:5" ht="15.6" x14ac:dyDescent="0.3">
      <c r="A78" s="1"/>
      <c r="B78" s="13"/>
      <c r="C78" s="11">
        <f t="shared" si="4"/>
        <v>48</v>
      </c>
      <c r="D78" s="2">
        <f ca="1">'POISSON-LOGNORM'!D74</f>
        <v>2317.2656507576248</v>
      </c>
      <c r="E78" s="4">
        <f t="shared" ca="1" si="5"/>
        <v>0</v>
      </c>
    </row>
    <row r="79" spans="1:5" ht="15.6" x14ac:dyDescent="0.3">
      <c r="A79" s="1"/>
      <c r="B79" s="13"/>
      <c r="C79" s="11">
        <f t="shared" si="4"/>
        <v>49</v>
      </c>
      <c r="D79" s="2">
        <f ca="1">'POISSON-LOGNORM'!D75</f>
        <v>2315.4569335480833</v>
      </c>
      <c r="E79" s="4">
        <f t="shared" ca="1" si="5"/>
        <v>0</v>
      </c>
    </row>
    <row r="80" spans="1:5" ht="15.6" x14ac:dyDescent="0.3">
      <c r="A80" s="1"/>
      <c r="B80" s="13"/>
      <c r="C80" s="11">
        <f t="shared" si="4"/>
        <v>50</v>
      </c>
      <c r="D80" s="2">
        <f ca="1">'POISSON-LOGNORM'!D76</f>
        <v>2195.701128680646</v>
      </c>
      <c r="E80" s="4">
        <f t="shared" ca="1" si="5"/>
        <v>0</v>
      </c>
    </row>
    <row r="81" spans="1:5" ht="15.6" x14ac:dyDescent="0.3">
      <c r="A81" s="1"/>
      <c r="B81" s="13"/>
      <c r="C81" s="11">
        <f t="shared" si="4"/>
        <v>51</v>
      </c>
      <c r="D81" s="2">
        <f ca="1">'POISSON-LOGNORM'!D77</f>
        <v>1640.3376855193171</v>
      </c>
      <c r="E81" s="4">
        <f t="shared" ca="1" si="5"/>
        <v>0</v>
      </c>
    </row>
    <row r="82" spans="1:5" ht="15.6" x14ac:dyDescent="0.3">
      <c r="A82" s="1"/>
      <c r="B82" s="13"/>
      <c r="C82" s="11">
        <f t="shared" si="4"/>
        <v>52</v>
      </c>
      <c r="D82" s="2">
        <f ca="1">'POISSON-LOGNORM'!D78</f>
        <v>2964.7813507380151</v>
      </c>
      <c r="E82" s="4">
        <f t="shared" ca="1" si="5"/>
        <v>0</v>
      </c>
    </row>
    <row r="83" spans="1:5" ht="15.6" x14ac:dyDescent="0.3">
      <c r="A83" s="1"/>
      <c r="B83" s="13"/>
      <c r="C83" s="11">
        <f t="shared" si="4"/>
        <v>53</v>
      </c>
      <c r="D83" s="2">
        <f ca="1">'POISSON-LOGNORM'!D79</f>
        <v>2220.0900576956733</v>
      </c>
      <c r="E83" s="4">
        <f t="shared" ca="1" si="5"/>
        <v>0</v>
      </c>
    </row>
    <row r="84" spans="1:5" ht="15.6" x14ac:dyDescent="0.3">
      <c r="A84" s="1"/>
      <c r="B84" s="13"/>
      <c r="C84" s="11">
        <f t="shared" si="4"/>
        <v>54</v>
      </c>
      <c r="D84" s="2">
        <f ca="1">'POISSON-LOGNORM'!D80</f>
        <v>2932.5794664187488</v>
      </c>
      <c r="E84" s="4">
        <f t="shared" ca="1" si="5"/>
        <v>0</v>
      </c>
    </row>
    <row r="85" spans="1:5" ht="15.6" x14ac:dyDescent="0.3">
      <c r="A85" s="1"/>
      <c r="B85" s="13"/>
      <c r="C85" s="11">
        <f t="shared" si="4"/>
        <v>55</v>
      </c>
      <c r="D85" s="2">
        <f ca="1">'POISSON-LOGNORM'!D81</f>
        <v>2881.4900940999023</v>
      </c>
      <c r="E85" s="4">
        <f t="shared" ca="1" si="5"/>
        <v>0</v>
      </c>
    </row>
    <row r="86" spans="1:5" ht="15.6" x14ac:dyDescent="0.3">
      <c r="A86" s="1"/>
      <c r="B86" s="13"/>
      <c r="C86" s="11">
        <f t="shared" si="4"/>
        <v>56</v>
      </c>
      <c r="D86" s="2">
        <f ca="1">'POISSON-LOGNORM'!D82</f>
        <v>1843.1163780277718</v>
      </c>
      <c r="E86" s="4">
        <f t="shared" ca="1" si="5"/>
        <v>0</v>
      </c>
    </row>
    <row r="87" spans="1:5" ht="15.6" x14ac:dyDescent="0.3">
      <c r="A87" s="1"/>
      <c r="B87" s="13"/>
      <c r="C87" s="11">
        <f t="shared" si="4"/>
        <v>57</v>
      </c>
      <c r="D87" s="2">
        <f ca="1">'POISSON-LOGNORM'!D83</f>
        <v>3394.1431424005223</v>
      </c>
      <c r="E87" s="4">
        <f t="shared" ca="1" si="5"/>
        <v>0</v>
      </c>
    </row>
    <row r="88" spans="1:5" ht="15.6" x14ac:dyDescent="0.3">
      <c r="A88" s="1"/>
      <c r="B88" s="13"/>
      <c r="C88" s="11">
        <f t="shared" si="4"/>
        <v>58</v>
      </c>
      <c r="D88" s="2">
        <f ca="1">'POISSON-LOGNORM'!D84</f>
        <v>2346.9567841136941</v>
      </c>
      <c r="E88" s="4">
        <f t="shared" ca="1" si="5"/>
        <v>0</v>
      </c>
    </row>
    <row r="89" spans="1:5" ht="15.6" x14ac:dyDescent="0.3">
      <c r="A89" s="1"/>
      <c r="B89" s="13"/>
      <c r="C89" s="11">
        <f t="shared" si="4"/>
        <v>59</v>
      </c>
      <c r="D89" s="2">
        <f ca="1">'POISSON-LOGNORM'!D85</f>
        <v>1001.7983420544458</v>
      </c>
      <c r="E89" s="4">
        <f t="shared" ca="1" si="5"/>
        <v>0</v>
      </c>
    </row>
    <row r="90" spans="1:5" ht="15.6" x14ac:dyDescent="0.3">
      <c r="A90" s="1"/>
      <c r="B90" s="13"/>
      <c r="C90" s="11">
        <f t="shared" si="4"/>
        <v>60</v>
      </c>
      <c r="D90" s="2">
        <f ca="1">'POISSON-LOGNORM'!D86</f>
        <v>2118.878630871046</v>
      </c>
      <c r="E90" s="4">
        <f t="shared" ca="1" si="5"/>
        <v>0</v>
      </c>
    </row>
    <row r="91" spans="1:5" ht="15.6" x14ac:dyDescent="0.3">
      <c r="A91" s="1"/>
      <c r="B91" s="13"/>
      <c r="C91" s="11">
        <f t="shared" si="4"/>
        <v>61</v>
      </c>
      <c r="D91" s="2">
        <f ca="1">'POISSON-LOGNORM'!D87</f>
        <v>2021.9719123030684</v>
      </c>
      <c r="E91" s="4">
        <f t="shared" ca="1" si="5"/>
        <v>0</v>
      </c>
    </row>
    <row r="92" spans="1:5" ht="15.6" x14ac:dyDescent="0.3">
      <c r="A92" s="1"/>
      <c r="B92" s="13"/>
      <c r="C92" s="11">
        <f t="shared" si="4"/>
        <v>62</v>
      </c>
      <c r="D92" s="2">
        <f ca="1">'POISSON-LOGNORM'!D88</f>
        <v>2301.3153008980944</v>
      </c>
      <c r="E92" s="4">
        <f t="shared" ca="1" si="5"/>
        <v>0</v>
      </c>
    </row>
    <row r="93" spans="1:5" ht="15.6" x14ac:dyDescent="0.3">
      <c r="A93" s="1"/>
      <c r="B93" s="13"/>
      <c r="C93" s="11">
        <f t="shared" si="4"/>
        <v>63</v>
      </c>
      <c r="D93" s="2">
        <f ca="1">'POISSON-LOGNORM'!D89</f>
        <v>1519.6453692519954</v>
      </c>
      <c r="E93" s="4">
        <f t="shared" ca="1" si="5"/>
        <v>0</v>
      </c>
    </row>
    <row r="94" spans="1:5" ht="15.6" x14ac:dyDescent="0.3">
      <c r="A94" s="1"/>
      <c r="B94" s="13"/>
      <c r="C94" s="11">
        <f t="shared" si="4"/>
        <v>64</v>
      </c>
      <c r="D94" s="2">
        <f ca="1">'POISSON-LOGNORM'!D90</f>
        <v>2287.1964973869226</v>
      </c>
      <c r="E94" s="4">
        <f t="shared" ca="1" si="5"/>
        <v>0</v>
      </c>
    </row>
    <row r="95" spans="1:5" ht="15.6" x14ac:dyDescent="0.3">
      <c r="A95" s="1"/>
      <c r="B95" s="13"/>
      <c r="C95" s="11">
        <f t="shared" si="4"/>
        <v>65</v>
      </c>
      <c r="D95" s="2">
        <f ca="1">'POISSON-LOGNORM'!D91</f>
        <v>1832.8534786445332</v>
      </c>
      <c r="E95" s="4">
        <f t="shared" ca="1" si="5"/>
        <v>0</v>
      </c>
    </row>
    <row r="96" spans="1:5" ht="15.6" x14ac:dyDescent="0.3">
      <c r="A96" s="1"/>
      <c r="B96" s="13"/>
      <c r="C96" s="11">
        <f t="shared" ref="C96:C130" si="6">+C95+1</f>
        <v>66</v>
      </c>
      <c r="D96" s="2">
        <f ca="1">'POISSON-LOGNORM'!D92</f>
        <v>2056.1534709019347</v>
      </c>
      <c r="E96" s="4">
        <f t="shared" ref="E96:E130" ca="1" si="7">IF(C96&lt;=$B$19,D96,0)</f>
        <v>0</v>
      </c>
    </row>
    <row r="97" spans="1:5" ht="15.6" x14ac:dyDescent="0.3">
      <c r="A97" s="1"/>
      <c r="B97" s="13"/>
      <c r="C97" s="11">
        <f t="shared" si="6"/>
        <v>67</v>
      </c>
      <c r="D97" s="2">
        <f ca="1">'POISSON-LOGNORM'!D93</f>
        <v>2797.3521359161828</v>
      </c>
      <c r="E97" s="4">
        <f t="shared" ca="1" si="7"/>
        <v>0</v>
      </c>
    </row>
    <row r="98" spans="1:5" ht="15.6" x14ac:dyDescent="0.3">
      <c r="A98" s="1"/>
      <c r="B98" s="13"/>
      <c r="C98" s="11">
        <f t="shared" si="6"/>
        <v>68</v>
      </c>
      <c r="D98" s="2">
        <f ca="1">'POISSON-LOGNORM'!D94</f>
        <v>3611.5228235893314</v>
      </c>
      <c r="E98" s="4">
        <f t="shared" ca="1" si="7"/>
        <v>0</v>
      </c>
    </row>
    <row r="99" spans="1:5" ht="15.6" x14ac:dyDescent="0.3">
      <c r="A99" s="1"/>
      <c r="B99" s="13"/>
      <c r="C99" s="11">
        <f t="shared" si="6"/>
        <v>69</v>
      </c>
      <c r="D99" s="2">
        <f ca="1">'POISSON-LOGNORM'!D95</f>
        <v>2217.5895831818771</v>
      </c>
      <c r="E99" s="4">
        <f t="shared" ca="1" si="7"/>
        <v>0</v>
      </c>
    </row>
    <row r="100" spans="1:5" ht="15.6" x14ac:dyDescent="0.3">
      <c r="A100" s="1"/>
      <c r="B100" s="13"/>
      <c r="C100" s="11">
        <f t="shared" si="6"/>
        <v>70</v>
      </c>
      <c r="D100" s="2">
        <f ca="1">'POISSON-LOGNORM'!D96</f>
        <v>4860.8240634174617</v>
      </c>
      <c r="E100" s="4">
        <f t="shared" ca="1" si="7"/>
        <v>0</v>
      </c>
    </row>
    <row r="101" spans="1:5" ht="15.6" x14ac:dyDescent="0.3">
      <c r="A101" s="1"/>
      <c r="B101" s="13"/>
      <c r="C101" s="11">
        <f t="shared" si="6"/>
        <v>71</v>
      </c>
      <c r="D101" s="2">
        <f ca="1">'POISSON-LOGNORM'!D97</f>
        <v>1696.8392699876931</v>
      </c>
      <c r="E101" s="4">
        <f t="shared" ca="1" si="7"/>
        <v>0</v>
      </c>
    </row>
    <row r="102" spans="1:5" ht="15.6" x14ac:dyDescent="0.3">
      <c r="A102" s="1"/>
      <c r="B102" s="13"/>
      <c r="C102" s="11">
        <f t="shared" si="6"/>
        <v>72</v>
      </c>
      <c r="D102" s="2">
        <f ca="1">'POISSON-LOGNORM'!D98</f>
        <v>2900.8550972013204</v>
      </c>
      <c r="E102" s="4">
        <f t="shared" ca="1" si="7"/>
        <v>0</v>
      </c>
    </row>
    <row r="103" spans="1:5" ht="15.6" x14ac:dyDescent="0.3">
      <c r="A103" s="1"/>
      <c r="B103" s="13"/>
      <c r="C103" s="11">
        <f t="shared" si="6"/>
        <v>73</v>
      </c>
      <c r="D103" s="2">
        <f ca="1">'POISSON-LOGNORM'!D99</f>
        <v>2583.8337671918362</v>
      </c>
      <c r="E103" s="4">
        <f t="shared" ca="1" si="7"/>
        <v>0</v>
      </c>
    </row>
    <row r="104" spans="1:5" ht="15.6" x14ac:dyDescent="0.3">
      <c r="A104" s="1"/>
      <c r="B104" s="13"/>
      <c r="C104" s="11">
        <f t="shared" si="6"/>
        <v>74</v>
      </c>
      <c r="D104" s="2">
        <f ca="1">'POISSON-LOGNORM'!D100</f>
        <v>1293.2150993949797</v>
      </c>
      <c r="E104" s="4">
        <f t="shared" ca="1" si="7"/>
        <v>0</v>
      </c>
    </row>
    <row r="105" spans="1:5" ht="15.6" x14ac:dyDescent="0.3">
      <c r="A105" s="1"/>
      <c r="B105" s="13"/>
      <c r="C105" s="11">
        <f t="shared" si="6"/>
        <v>75</v>
      </c>
      <c r="D105" s="2">
        <f ca="1">'POISSON-LOGNORM'!D101</f>
        <v>2466.7735565917337</v>
      </c>
      <c r="E105" s="4">
        <f t="shared" ca="1" si="7"/>
        <v>0</v>
      </c>
    </row>
    <row r="106" spans="1:5" ht="15.6" x14ac:dyDescent="0.3">
      <c r="A106" s="1"/>
      <c r="B106" s="13"/>
      <c r="C106" s="11">
        <f t="shared" si="6"/>
        <v>76</v>
      </c>
      <c r="D106" s="2">
        <f ca="1">'POISSON-LOGNORM'!D102</f>
        <v>1180.9466587453981</v>
      </c>
      <c r="E106" s="4">
        <f t="shared" ca="1" si="7"/>
        <v>0</v>
      </c>
    </row>
    <row r="107" spans="1:5" ht="15.6" x14ac:dyDescent="0.3">
      <c r="A107" s="1"/>
      <c r="B107" s="13"/>
      <c r="C107" s="11">
        <f t="shared" si="6"/>
        <v>77</v>
      </c>
      <c r="D107" s="2">
        <f ca="1">'POISSON-LOGNORM'!D103</f>
        <v>2915.6396238438319</v>
      </c>
      <c r="E107" s="4">
        <f t="shared" ca="1" si="7"/>
        <v>0</v>
      </c>
    </row>
    <row r="108" spans="1:5" ht="15.6" x14ac:dyDescent="0.3">
      <c r="A108" s="1"/>
      <c r="B108" s="13"/>
      <c r="C108" s="11">
        <f t="shared" si="6"/>
        <v>78</v>
      </c>
      <c r="D108" s="2">
        <f ca="1">'POISSON-LOGNORM'!D104</f>
        <v>1721.6422320362171</v>
      </c>
      <c r="E108" s="4">
        <f t="shared" ca="1" si="7"/>
        <v>0</v>
      </c>
    </row>
    <row r="109" spans="1:5" ht="15.6" x14ac:dyDescent="0.3">
      <c r="A109" s="1"/>
      <c r="B109" s="13"/>
      <c r="C109" s="11">
        <f t="shared" si="6"/>
        <v>79</v>
      </c>
      <c r="D109" s="2">
        <f ca="1">'POISSON-LOGNORM'!D105</f>
        <v>2114.7710042953122</v>
      </c>
      <c r="E109" s="4">
        <f t="shared" ca="1" si="7"/>
        <v>0</v>
      </c>
    </row>
    <row r="110" spans="1:5" ht="15.6" x14ac:dyDescent="0.3">
      <c r="A110" s="1"/>
      <c r="B110" s="13"/>
      <c r="C110" s="11">
        <f t="shared" si="6"/>
        <v>80</v>
      </c>
      <c r="D110" s="2">
        <f ca="1">'POISSON-LOGNORM'!D106</f>
        <v>1642.8026714278963</v>
      </c>
      <c r="E110" s="4">
        <f t="shared" ca="1" si="7"/>
        <v>0</v>
      </c>
    </row>
    <row r="111" spans="1:5" ht="15.6" x14ac:dyDescent="0.3">
      <c r="A111" s="1"/>
      <c r="B111" s="13"/>
      <c r="C111" s="11">
        <f t="shared" si="6"/>
        <v>81</v>
      </c>
      <c r="D111" s="2">
        <f ca="1">'POISSON-LOGNORM'!D107</f>
        <v>1471.944313980501</v>
      </c>
      <c r="E111" s="4">
        <f t="shared" ca="1" si="7"/>
        <v>0</v>
      </c>
    </row>
    <row r="112" spans="1:5" ht="15.6" x14ac:dyDescent="0.3">
      <c r="A112" s="1"/>
      <c r="B112" s="13"/>
      <c r="C112" s="11">
        <f t="shared" si="6"/>
        <v>82</v>
      </c>
      <c r="D112" s="2">
        <f ca="1">'POISSON-LOGNORM'!D108</f>
        <v>2548.4158937856323</v>
      </c>
      <c r="E112" s="4">
        <f t="shared" ca="1" si="7"/>
        <v>0</v>
      </c>
    </row>
    <row r="113" spans="1:5" ht="15.6" x14ac:dyDescent="0.3">
      <c r="A113" s="1"/>
      <c r="B113" s="13"/>
      <c r="C113" s="11">
        <f t="shared" si="6"/>
        <v>83</v>
      </c>
      <c r="D113" s="2">
        <f ca="1">'POISSON-LOGNORM'!D109</f>
        <v>2325.368428778228</v>
      </c>
      <c r="E113" s="4">
        <f t="shared" ca="1" si="7"/>
        <v>0</v>
      </c>
    </row>
    <row r="114" spans="1:5" ht="15.6" x14ac:dyDescent="0.3">
      <c r="A114" s="1"/>
      <c r="B114" s="13"/>
      <c r="C114" s="11">
        <f t="shared" si="6"/>
        <v>84</v>
      </c>
      <c r="D114" s="2">
        <f ca="1">'POISSON-LOGNORM'!D110</f>
        <v>3880.3780411583771</v>
      </c>
      <c r="E114" s="4">
        <f t="shared" ca="1" si="7"/>
        <v>0</v>
      </c>
    </row>
    <row r="115" spans="1:5" ht="15.6" x14ac:dyDescent="0.3">
      <c r="A115" s="1"/>
      <c r="B115" s="13"/>
      <c r="C115" s="11">
        <f t="shared" si="6"/>
        <v>85</v>
      </c>
      <c r="D115" s="2">
        <f ca="1">'POISSON-LOGNORM'!D111</f>
        <v>1690.6070962632932</v>
      </c>
      <c r="E115" s="4">
        <f t="shared" ca="1" si="7"/>
        <v>0</v>
      </c>
    </row>
    <row r="116" spans="1:5" ht="15.6" x14ac:dyDescent="0.3">
      <c r="A116" s="1"/>
      <c r="B116" s="13"/>
      <c r="C116" s="11">
        <f t="shared" si="6"/>
        <v>86</v>
      </c>
      <c r="D116" s="2">
        <f ca="1">'POISSON-LOGNORM'!D112</f>
        <v>4471.9282903788207</v>
      </c>
      <c r="E116" s="4">
        <f t="shared" ca="1" si="7"/>
        <v>0</v>
      </c>
    </row>
    <row r="117" spans="1:5" ht="15.6" x14ac:dyDescent="0.3">
      <c r="A117" s="1"/>
      <c r="B117" s="13"/>
      <c r="C117" s="11">
        <f t="shared" si="6"/>
        <v>87</v>
      </c>
      <c r="D117" s="2">
        <f ca="1">'POISSON-LOGNORM'!D113</f>
        <v>2142.0261033913066</v>
      </c>
      <c r="E117" s="4">
        <f t="shared" ca="1" si="7"/>
        <v>0</v>
      </c>
    </row>
    <row r="118" spans="1:5" ht="15.6" x14ac:dyDescent="0.3">
      <c r="A118" s="1"/>
      <c r="B118" s="13"/>
      <c r="C118" s="11">
        <f t="shared" si="6"/>
        <v>88</v>
      </c>
      <c r="D118" s="2">
        <f ca="1">'POISSON-LOGNORM'!D114</f>
        <v>1643.1907048707656</v>
      </c>
      <c r="E118" s="4">
        <f t="shared" ca="1" si="7"/>
        <v>0</v>
      </c>
    </row>
    <row r="119" spans="1:5" ht="15.6" x14ac:dyDescent="0.3">
      <c r="A119" s="1"/>
      <c r="B119" s="13"/>
      <c r="C119" s="11">
        <f t="shared" si="6"/>
        <v>89</v>
      </c>
      <c r="D119" s="2">
        <f ca="1">'POISSON-LOGNORM'!D115</f>
        <v>2280.1093669747997</v>
      </c>
      <c r="E119" s="4">
        <f t="shared" ca="1" si="7"/>
        <v>0</v>
      </c>
    </row>
    <row r="120" spans="1:5" ht="15.6" x14ac:dyDescent="0.3">
      <c r="A120" s="1"/>
      <c r="B120" s="13"/>
      <c r="C120" s="11">
        <f t="shared" si="6"/>
        <v>90</v>
      </c>
      <c r="D120" s="2">
        <f ca="1">'POISSON-LOGNORM'!D116</f>
        <v>2560.6402535972734</v>
      </c>
      <c r="E120" s="4">
        <f t="shared" ca="1" si="7"/>
        <v>0</v>
      </c>
    </row>
    <row r="121" spans="1:5" ht="15.6" x14ac:dyDescent="0.3">
      <c r="A121" s="1"/>
      <c r="B121" s="13"/>
      <c r="C121" s="11">
        <f t="shared" si="6"/>
        <v>91</v>
      </c>
      <c r="D121" s="2">
        <f ca="1">'POISSON-LOGNORM'!D117</f>
        <v>1968.0925073164869</v>
      </c>
      <c r="E121" s="4">
        <f t="shared" ca="1" si="7"/>
        <v>0</v>
      </c>
    </row>
    <row r="122" spans="1:5" ht="15.6" x14ac:dyDescent="0.3">
      <c r="A122" s="1"/>
      <c r="B122" s="13"/>
      <c r="C122" s="11">
        <f t="shared" si="6"/>
        <v>92</v>
      </c>
      <c r="D122" s="2">
        <f ca="1">'POISSON-LOGNORM'!D118</f>
        <v>2946.3281027896701</v>
      </c>
      <c r="E122" s="4">
        <f t="shared" ca="1" si="7"/>
        <v>0</v>
      </c>
    </row>
    <row r="123" spans="1:5" ht="15.6" x14ac:dyDescent="0.3">
      <c r="A123" s="1"/>
      <c r="B123" s="13"/>
      <c r="C123" s="11">
        <f t="shared" si="6"/>
        <v>93</v>
      </c>
      <c r="D123" s="2">
        <f ca="1">'POISSON-LOGNORM'!D119</f>
        <v>1943.0935603747989</v>
      </c>
      <c r="E123" s="4">
        <f t="shared" ca="1" si="7"/>
        <v>0</v>
      </c>
    </row>
    <row r="124" spans="1:5" ht="15.6" x14ac:dyDescent="0.3">
      <c r="A124" s="1"/>
      <c r="B124" s="13"/>
      <c r="C124" s="11">
        <f t="shared" si="6"/>
        <v>94</v>
      </c>
      <c r="D124" s="2">
        <f ca="1">'POISSON-LOGNORM'!D120</f>
        <v>2194.6056970907457</v>
      </c>
      <c r="E124" s="4">
        <f t="shared" ca="1" si="7"/>
        <v>0</v>
      </c>
    </row>
    <row r="125" spans="1:5" ht="15.6" x14ac:dyDescent="0.3">
      <c r="A125" s="1"/>
      <c r="B125" s="13"/>
      <c r="C125" s="11">
        <f t="shared" si="6"/>
        <v>95</v>
      </c>
      <c r="D125" s="2">
        <f ca="1">'POISSON-LOGNORM'!D121</f>
        <v>2272.9506208573462</v>
      </c>
      <c r="E125" s="4">
        <f t="shared" ca="1" si="7"/>
        <v>0</v>
      </c>
    </row>
    <row r="126" spans="1:5" ht="15.6" x14ac:dyDescent="0.3">
      <c r="A126" s="1"/>
      <c r="B126" s="13"/>
      <c r="C126" s="11">
        <f t="shared" si="6"/>
        <v>96</v>
      </c>
      <c r="D126" s="2">
        <f ca="1">'POISSON-LOGNORM'!D122</f>
        <v>1578.6408099717714</v>
      </c>
      <c r="E126" s="4">
        <f t="shared" ca="1" si="7"/>
        <v>0</v>
      </c>
    </row>
    <row r="127" spans="1:5" ht="15.6" x14ac:dyDescent="0.3">
      <c r="A127" s="1"/>
      <c r="B127" s="13"/>
      <c r="C127" s="11">
        <f t="shared" si="6"/>
        <v>97</v>
      </c>
      <c r="D127" s="2">
        <f ca="1">'POISSON-LOGNORM'!D123</f>
        <v>1771.309710226576</v>
      </c>
      <c r="E127" s="4">
        <f t="shared" ca="1" si="7"/>
        <v>0</v>
      </c>
    </row>
    <row r="128" spans="1:5" ht="15.6" x14ac:dyDescent="0.3">
      <c r="A128" s="1"/>
      <c r="B128" s="13"/>
      <c r="C128" s="11">
        <f t="shared" si="6"/>
        <v>98</v>
      </c>
      <c r="D128" s="2">
        <f ca="1">'POISSON-LOGNORM'!D124</f>
        <v>3381.1105984032852</v>
      </c>
      <c r="E128" s="4">
        <f t="shared" ca="1" si="7"/>
        <v>0</v>
      </c>
    </row>
    <row r="129" spans="1:5" ht="15.6" x14ac:dyDescent="0.3">
      <c r="A129" s="1"/>
      <c r="B129" s="13"/>
      <c r="C129" s="11">
        <f t="shared" si="6"/>
        <v>99</v>
      </c>
      <c r="D129" s="2">
        <f ca="1">'POISSON-LOGNORM'!D125</f>
        <v>2521.9552789187173</v>
      </c>
      <c r="E129" s="4">
        <f t="shared" ca="1" si="7"/>
        <v>0</v>
      </c>
    </row>
    <row r="130" spans="1:5" ht="15.6" x14ac:dyDescent="0.3">
      <c r="A130" s="1"/>
      <c r="B130" s="13"/>
      <c r="C130" s="11">
        <f t="shared" si="6"/>
        <v>100</v>
      </c>
      <c r="D130" s="2">
        <f ca="1">'POISSON-LOGNORM'!D126</f>
        <v>3143.9059663490762</v>
      </c>
      <c r="E130" s="4">
        <f t="shared" ca="1" si="7"/>
        <v>0</v>
      </c>
    </row>
    <row r="131" spans="1:5" ht="15.6" x14ac:dyDescent="0.3">
      <c r="A131" s="3"/>
      <c r="B131" s="7"/>
      <c r="D131" s="10"/>
      <c r="E131" s="6"/>
    </row>
    <row r="132" spans="1:5" ht="15.6" x14ac:dyDescent="0.3">
      <c r="A132" s="3"/>
      <c r="B132" s="7"/>
      <c r="D132" s="10"/>
      <c r="E132" s="6"/>
    </row>
    <row r="133" spans="1:5" ht="15.6" x14ac:dyDescent="0.3">
      <c r="A133" s="3"/>
      <c r="B133" s="7"/>
      <c r="D133" s="10"/>
      <c r="E133" s="6"/>
    </row>
    <row r="134" spans="1:5" ht="15.6" x14ac:dyDescent="0.3">
      <c r="A134" s="3"/>
      <c r="B134" s="7"/>
      <c r="D134" s="10"/>
      <c r="E134" s="6"/>
    </row>
    <row r="135" spans="1:5" ht="15.6" x14ac:dyDescent="0.3">
      <c r="A135" s="3"/>
      <c r="B135" s="7"/>
      <c r="D135" s="10"/>
      <c r="E135" s="6"/>
    </row>
    <row r="136" spans="1:5" ht="15.6" x14ac:dyDescent="0.3">
      <c r="A136" s="3"/>
      <c r="B136" s="7"/>
      <c r="D136" s="10"/>
      <c r="E136" s="6"/>
    </row>
    <row r="137" spans="1:5" ht="15.6" x14ac:dyDescent="0.3">
      <c r="A137" s="3"/>
      <c r="B137" s="7"/>
      <c r="D137" s="10"/>
      <c r="E137" s="6"/>
    </row>
    <row r="138" spans="1:5" ht="15.6" x14ac:dyDescent="0.3">
      <c r="A138" s="3"/>
      <c r="B138" s="7"/>
      <c r="D138" s="10"/>
      <c r="E138" s="6"/>
    </row>
    <row r="139" spans="1:5" ht="15.6" x14ac:dyDescent="0.3">
      <c r="A139" s="3"/>
      <c r="B139" s="7"/>
      <c r="D139" s="10"/>
      <c r="E139" s="6"/>
    </row>
    <row r="140" spans="1:5" ht="15.6" x14ac:dyDescent="0.3">
      <c r="A140" s="3"/>
      <c r="B140" s="7"/>
      <c r="D140" s="10"/>
      <c r="E140" s="6"/>
    </row>
    <row r="141" spans="1:5" ht="15.6" x14ac:dyDescent="0.3">
      <c r="A141" s="3"/>
      <c r="B141" s="7"/>
      <c r="D141" s="10"/>
      <c r="E141" s="6"/>
    </row>
    <row r="142" spans="1:5" ht="15.6" x14ac:dyDescent="0.3">
      <c r="A142" s="3"/>
      <c r="B142" s="7"/>
      <c r="D142" s="10"/>
      <c r="E142" s="6"/>
    </row>
    <row r="143" spans="1:5" ht="15.6" x14ac:dyDescent="0.3">
      <c r="A143" s="3"/>
      <c r="B143" s="7"/>
      <c r="D143" s="10"/>
      <c r="E143" s="6"/>
    </row>
    <row r="144" spans="1:5" ht="15.6" x14ac:dyDescent="0.3">
      <c r="A144" s="3"/>
      <c r="B144" s="7"/>
      <c r="D144" s="10"/>
      <c r="E144" s="6"/>
    </row>
    <row r="145" spans="1:5" ht="15.6" x14ac:dyDescent="0.3">
      <c r="A145" s="3"/>
      <c r="B145" s="7"/>
      <c r="D145" s="10"/>
      <c r="E145" s="6"/>
    </row>
  </sheetData>
  <mergeCells count="1">
    <mergeCell ref="C12:CZ1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3"/>
  <dimension ref="B1:K1002"/>
  <sheetViews>
    <sheetView topLeftCell="A130" zoomScaleNormal="100" workbookViewId="0">
      <selection activeCell="D3" sqref="D3"/>
    </sheetView>
  </sheetViews>
  <sheetFormatPr defaultRowHeight="14.4" x14ac:dyDescent="0.3"/>
  <cols>
    <col min="2" max="2" width="14.44140625" customWidth="1"/>
    <col min="3" max="3" width="9.21875" customWidth="1"/>
    <col min="4" max="4" width="11.33203125" style="106" bestFit="1" customWidth="1"/>
    <col min="6" max="6" width="13.21875" customWidth="1"/>
    <col min="7" max="7" width="11.21875" bestFit="1" customWidth="1"/>
    <col min="8" max="8" width="18.21875" customWidth="1"/>
    <col min="9" max="10" width="13.21875" customWidth="1"/>
    <col min="11" max="11" width="13.6640625" bestFit="1" customWidth="1"/>
  </cols>
  <sheetData>
    <row r="1" spans="2:11" ht="15" thickBot="1" x14ac:dyDescent="0.35"/>
    <row r="2" spans="2:11" x14ac:dyDescent="0.3">
      <c r="B2" s="18" t="s">
        <v>13</v>
      </c>
      <c r="C2" s="19" t="s">
        <v>14</v>
      </c>
      <c r="D2" s="255" t="s">
        <v>15</v>
      </c>
    </row>
    <row r="3" spans="2:11" x14ac:dyDescent="0.3">
      <c r="B3" s="11">
        <v>1</v>
      </c>
      <c r="C3" s="11">
        <v>91229.364094685181</v>
      </c>
      <c r="D3" s="180">
        <v>91229.364094685181</v>
      </c>
    </row>
    <row r="4" spans="2:11" x14ac:dyDescent="0.3">
      <c r="B4" s="11">
        <f>B3+1</f>
        <v>2</v>
      </c>
      <c r="C4" s="11">
        <v>93619.965451902695</v>
      </c>
      <c r="D4" s="180">
        <v>93619.965451902695</v>
      </c>
    </row>
    <row r="5" spans="2:11" x14ac:dyDescent="0.3">
      <c r="B5" s="11">
        <f t="shared" ref="B5:B68" si="0">B4+1</f>
        <v>3</v>
      </c>
      <c r="C5" s="11">
        <v>88160.329788251998</v>
      </c>
      <c r="D5" s="180">
        <v>88160.329788251998</v>
      </c>
      <c r="G5" s="12" t="s">
        <v>66</v>
      </c>
      <c r="H5" s="12" t="s">
        <v>68</v>
      </c>
    </row>
    <row r="6" spans="2:11" x14ac:dyDescent="0.3">
      <c r="B6" s="11">
        <f t="shared" si="0"/>
        <v>4</v>
      </c>
      <c r="C6" s="11">
        <v>114325.18651055591</v>
      </c>
      <c r="D6" s="180">
        <v>114325.18651055591</v>
      </c>
      <c r="F6" s="12" t="s">
        <v>63</v>
      </c>
      <c r="G6" s="16">
        <f>'POISSON-LOGNORM'!B4</f>
        <v>41.244033412887823</v>
      </c>
      <c r="H6" s="16">
        <f>G6</f>
        <v>41.244033412887823</v>
      </c>
    </row>
    <row r="7" spans="2:11" x14ac:dyDescent="0.3">
      <c r="B7" s="11">
        <f t="shared" si="0"/>
        <v>5</v>
      </c>
      <c r="C7" s="11">
        <v>122761.70917643637</v>
      </c>
      <c r="D7" s="180">
        <v>124270.79941790752</v>
      </c>
      <c r="F7" s="12" t="s">
        <v>64</v>
      </c>
      <c r="G7" s="16">
        <f>G6</f>
        <v>41.244033412887823</v>
      </c>
      <c r="H7" s="16">
        <f>'BIN.NEG.-LOGNORM'!B8</f>
        <v>43.360689424722743</v>
      </c>
    </row>
    <row r="8" spans="2:11" x14ac:dyDescent="0.3">
      <c r="B8" s="11">
        <f t="shared" si="0"/>
        <v>6</v>
      </c>
      <c r="C8" s="11">
        <v>75193.167804348108</v>
      </c>
      <c r="D8" s="180">
        <v>75193.167804348108</v>
      </c>
      <c r="F8" s="12" t="s">
        <v>60</v>
      </c>
      <c r="G8" s="108">
        <f>'SINGOLO SINISTRO'!H2</f>
        <v>2298.8250452079565</v>
      </c>
      <c r="H8" s="108">
        <f>G8</f>
        <v>2298.8250452079565</v>
      </c>
    </row>
    <row r="9" spans="2:11" x14ac:dyDescent="0.3">
      <c r="B9" s="11">
        <f t="shared" si="0"/>
        <v>7</v>
      </c>
      <c r="C9" s="11">
        <v>126931.33788721003</v>
      </c>
      <c r="D9" s="180">
        <v>126931.33788721003</v>
      </c>
      <c r="F9" s="12" t="s">
        <v>61</v>
      </c>
      <c r="G9" s="108">
        <f>'SINGOLO SINISTRO'!H3</f>
        <v>744955.60433657118</v>
      </c>
      <c r="H9" s="108">
        <f>G9</f>
        <v>744955.60433657118</v>
      </c>
    </row>
    <row r="10" spans="2:11" ht="15" thickBot="1" x14ac:dyDescent="0.35">
      <c r="B10" s="11">
        <f t="shared" si="0"/>
        <v>8</v>
      </c>
      <c r="C10" s="11">
        <v>90630.866801157244</v>
      </c>
      <c r="D10" s="180">
        <v>90630.866801157244</v>
      </c>
    </row>
    <row r="11" spans="2:11" ht="15" thickBot="1" x14ac:dyDescent="0.35">
      <c r="B11" s="11">
        <f t="shared" si="0"/>
        <v>9</v>
      </c>
      <c r="C11" s="11">
        <v>101510.34338638633</v>
      </c>
      <c r="D11" s="180">
        <v>101510.34338638633</v>
      </c>
      <c r="H11" s="20" t="s">
        <v>18</v>
      </c>
      <c r="I11" s="21">
        <v>1000</v>
      </c>
    </row>
    <row r="12" spans="2:11" x14ac:dyDescent="0.3">
      <c r="B12" s="11">
        <f t="shared" si="0"/>
        <v>10</v>
      </c>
      <c r="C12" s="11">
        <v>106139.64344218513</v>
      </c>
      <c r="D12" s="180">
        <v>106139.64344218513</v>
      </c>
    </row>
    <row r="13" spans="2:11" x14ac:dyDescent="0.3">
      <c r="B13" s="11">
        <f t="shared" si="0"/>
        <v>11</v>
      </c>
      <c r="C13" s="11">
        <v>122687.28498593948</v>
      </c>
      <c r="D13" s="180">
        <v>122687.28498593948</v>
      </c>
      <c r="H13" s="248" t="s">
        <v>94</v>
      </c>
      <c r="I13" s="248"/>
      <c r="J13" s="248" t="s">
        <v>95</v>
      </c>
      <c r="K13" s="248"/>
    </row>
    <row r="14" spans="2:11" x14ac:dyDescent="0.3">
      <c r="B14" s="11">
        <f t="shared" si="0"/>
        <v>12</v>
      </c>
      <c r="C14" s="11">
        <v>100239.57480825603</v>
      </c>
      <c r="D14" s="180">
        <v>100239.57480825603</v>
      </c>
      <c r="H14" s="28" t="s">
        <v>66</v>
      </c>
      <c r="I14" s="28" t="s">
        <v>67</v>
      </c>
      <c r="J14" s="28" t="s">
        <v>66</v>
      </c>
      <c r="K14" s="28" t="s">
        <v>67</v>
      </c>
    </row>
    <row r="15" spans="2:11" x14ac:dyDescent="0.3">
      <c r="B15" s="11">
        <f t="shared" si="0"/>
        <v>13</v>
      </c>
      <c r="C15" s="11">
        <v>82057.652224812264</v>
      </c>
      <c r="D15" s="180">
        <v>79497.013176059118</v>
      </c>
      <c r="G15" s="23" t="s">
        <v>19</v>
      </c>
      <c r="H15" s="15">
        <f>AVERAGE(C3:C1002)</f>
        <v>94757.80830894559</v>
      </c>
      <c r="I15" s="15">
        <f>AVERAGE(D3:D1002)</f>
        <v>94745.734591461092</v>
      </c>
      <c r="J15" s="174">
        <f>H15/H20-1</f>
        <v>-5.80181749153863E-4</v>
      </c>
      <c r="K15" s="174">
        <f>I15/J20-1</f>
        <v>-7.0752442148147576E-4</v>
      </c>
    </row>
    <row r="16" spans="2:11" x14ac:dyDescent="0.3">
      <c r="B16" s="11">
        <f t="shared" si="0"/>
        <v>14</v>
      </c>
      <c r="C16" s="11">
        <v>108389.84696882839</v>
      </c>
      <c r="D16" s="180">
        <v>108389.84696882839</v>
      </c>
      <c r="G16" s="24" t="s">
        <v>65</v>
      </c>
      <c r="H16" s="15">
        <f>_xlfn.STDEV.P(C3:C1002)</f>
        <v>16041.955873365037</v>
      </c>
      <c r="I16" s="15">
        <f>_xlfn.STDEV.P(D3:D1002)</f>
        <v>16354.687999776486</v>
      </c>
      <c r="J16" s="174">
        <f>H16/H22-1</f>
        <v>1.7265282335581E-2</v>
      </c>
      <c r="K16" s="174">
        <f>I16/J22-1</f>
        <v>1.4530844794204523E-2</v>
      </c>
    </row>
    <row r="17" spans="2:11" ht="15" thickBot="1" x14ac:dyDescent="0.35">
      <c r="B17" s="11">
        <f t="shared" si="0"/>
        <v>15</v>
      </c>
      <c r="C17" s="11">
        <v>106924.0868265006</v>
      </c>
      <c r="D17" s="180">
        <v>106924.0868265006</v>
      </c>
    </row>
    <row r="18" spans="2:11" x14ac:dyDescent="0.3">
      <c r="B18" s="11">
        <f t="shared" si="0"/>
        <v>16</v>
      </c>
      <c r="C18" s="11">
        <v>82790.889432528871</v>
      </c>
      <c r="D18" s="180">
        <v>82790.889432528871</v>
      </c>
      <c r="G18" s="18"/>
      <c r="H18" s="244" t="s">
        <v>14</v>
      </c>
      <c r="I18" s="244"/>
      <c r="J18" s="244" t="s">
        <v>24</v>
      </c>
      <c r="K18" s="244"/>
    </row>
    <row r="19" spans="2:11" x14ac:dyDescent="0.3">
      <c r="B19" s="11">
        <f t="shared" si="0"/>
        <v>17</v>
      </c>
      <c r="C19" s="11">
        <v>84841.44604100124</v>
      </c>
      <c r="D19" s="180">
        <v>84841.44604100124</v>
      </c>
      <c r="G19" s="22"/>
      <c r="H19" s="116" t="s">
        <v>22</v>
      </c>
      <c r="I19" s="116" t="s">
        <v>23</v>
      </c>
      <c r="J19" s="116" t="s">
        <v>22</v>
      </c>
      <c r="K19" s="116" t="s">
        <v>23</v>
      </c>
    </row>
    <row r="20" spans="2:11" x14ac:dyDescent="0.3">
      <c r="B20" s="11">
        <f t="shared" si="0"/>
        <v>18</v>
      </c>
      <c r="C20" s="11">
        <v>86563.287924011151</v>
      </c>
      <c r="D20" s="180">
        <v>86563.287924011151</v>
      </c>
      <c r="G20" s="23" t="s">
        <v>19</v>
      </c>
      <c r="H20" s="175">
        <f>G6*G8</f>
        <v>94812.816974940317</v>
      </c>
      <c r="I20" s="134">
        <f>H15</f>
        <v>94757.80830894559</v>
      </c>
      <c r="J20" s="250">
        <f>H6*H8</f>
        <v>94812.816974940317</v>
      </c>
      <c r="K20" s="134">
        <f>I15</f>
        <v>94745.734591461092</v>
      </c>
    </row>
    <row r="21" spans="2:11" x14ac:dyDescent="0.3">
      <c r="B21" s="11">
        <f t="shared" si="0"/>
        <v>19</v>
      </c>
      <c r="C21" s="11">
        <v>105364.43191678856</v>
      </c>
      <c r="D21" s="180">
        <v>105364.43191678856</v>
      </c>
      <c r="G21" s="24" t="s">
        <v>20</v>
      </c>
      <c r="H21" s="15">
        <f>G6*G9+G7*G8^2</f>
        <v>248683052.10508648</v>
      </c>
      <c r="I21" s="134">
        <f>H16^2</f>
        <v>257344348.24299103</v>
      </c>
      <c r="J21" s="250">
        <f>H6*H9+H7*H8^2</f>
        <v>259868725.24420518</v>
      </c>
      <c r="K21" s="134">
        <f>I16^2</f>
        <v>267475819.57003301</v>
      </c>
    </row>
    <row r="22" spans="2:11" ht="15" thickBot="1" x14ac:dyDescent="0.35">
      <c r="B22" s="11">
        <f t="shared" si="0"/>
        <v>20</v>
      </c>
      <c r="C22" s="11">
        <v>94244.545227072929</v>
      </c>
      <c r="D22" s="180">
        <v>94244.545227072929</v>
      </c>
      <c r="G22" s="24" t="s">
        <v>65</v>
      </c>
      <c r="H22" s="175">
        <f>SQRT(H21)</f>
        <v>15769.687761813373</v>
      </c>
      <c r="I22" s="134">
        <f>H16</f>
        <v>16041.955873365037</v>
      </c>
      <c r="J22" s="175">
        <f>SQRT(J21)</f>
        <v>16120.444325272339</v>
      </c>
      <c r="K22" s="134">
        <f>I16</f>
        <v>16354.687999776486</v>
      </c>
    </row>
    <row r="23" spans="2:11" ht="17.25" customHeight="1" x14ac:dyDescent="0.3">
      <c r="B23" s="11">
        <f t="shared" si="0"/>
        <v>21</v>
      </c>
      <c r="C23" s="11">
        <v>87613.817864205063</v>
      </c>
      <c r="D23" s="180">
        <v>87613.817864205063</v>
      </c>
      <c r="F23" s="245" t="s">
        <v>21</v>
      </c>
      <c r="G23" s="25">
        <v>0.5</v>
      </c>
      <c r="H23" s="253"/>
      <c r="I23" s="133">
        <f>PERCENTILE($C$3:$C$1002,G23)</f>
        <v>93869.755417841981</v>
      </c>
      <c r="J23" s="251"/>
      <c r="K23" s="133">
        <f>PERCENTILE($D$3:$D$1002,G23)</f>
        <v>93778.154827522492</v>
      </c>
    </row>
    <row r="24" spans="2:11" x14ac:dyDescent="0.3">
      <c r="B24" s="11">
        <f t="shared" si="0"/>
        <v>22</v>
      </c>
      <c r="C24" s="11">
        <v>113545.75626158545</v>
      </c>
      <c r="D24" s="180">
        <v>113545.75626158545</v>
      </c>
      <c r="F24" s="246"/>
      <c r="G24" s="25">
        <v>0.75</v>
      </c>
      <c r="H24" s="253"/>
      <c r="I24" s="133">
        <f t="shared" ref="I24:I25" si="1">PERCENTILE($C$3:$C$1002,G24)</f>
        <v>104993.11058858872</v>
      </c>
      <c r="J24" s="251"/>
      <c r="K24" s="133">
        <f>PERCENTILE($D$3:$D$1002,G24)</f>
        <v>105034.34882660338</v>
      </c>
    </row>
    <row r="25" spans="2:11" ht="15" thickBot="1" x14ac:dyDescent="0.35">
      <c r="B25" s="11">
        <f t="shared" si="0"/>
        <v>23</v>
      </c>
      <c r="C25" s="11">
        <v>94083.182713696937</v>
      </c>
      <c r="D25" s="180">
        <v>94083.182713696937</v>
      </c>
      <c r="F25" s="247"/>
      <c r="G25" s="26">
        <v>0.995</v>
      </c>
      <c r="H25" s="254"/>
      <c r="I25" s="176">
        <f t="shared" si="1"/>
        <v>137401.04336110209</v>
      </c>
      <c r="J25" s="252"/>
      <c r="K25" s="176">
        <f>PERCENTILE($D$3:$D$1002,G25)</f>
        <v>138707.70504699121</v>
      </c>
    </row>
    <row r="26" spans="2:11" x14ac:dyDescent="0.3">
      <c r="B26" s="11">
        <f t="shared" si="0"/>
        <v>24</v>
      </c>
      <c r="C26" s="11">
        <v>109701.57110761009</v>
      </c>
      <c r="D26" s="180">
        <v>109701.57110761009</v>
      </c>
      <c r="K26" s="117">
        <f>K25/I25-1</f>
        <v>9.5098381637110929E-3</v>
      </c>
    </row>
    <row r="27" spans="2:11" ht="18" x14ac:dyDescent="0.35">
      <c r="B27" s="11">
        <f t="shared" si="0"/>
        <v>25</v>
      </c>
      <c r="C27" s="11">
        <v>77986.677380321547</v>
      </c>
      <c r="D27" s="180">
        <v>77986.677380321547</v>
      </c>
      <c r="H27" t="s">
        <v>57</v>
      </c>
      <c r="I27" s="177">
        <f>LN(H20^2/SQRT(H21+H20^2))</f>
        <v>11.446015836062356</v>
      </c>
      <c r="K27" s="177">
        <f>LN(J20^2/SQRT(J21+J20^2))</f>
        <v>11.445410795945458</v>
      </c>
    </row>
    <row r="28" spans="2:11" ht="18" x14ac:dyDescent="0.35">
      <c r="B28" s="11">
        <f t="shared" si="0"/>
        <v>26</v>
      </c>
      <c r="C28" s="11">
        <v>83243.45475439672</v>
      </c>
      <c r="D28" s="180">
        <v>83243.45475439672</v>
      </c>
      <c r="H28" t="s">
        <v>58</v>
      </c>
      <c r="I28" s="156">
        <f>SQRT(LN((H21+H20^2)/H20^2))</f>
        <v>0.16519106028860553</v>
      </c>
      <c r="K28" s="156">
        <f>SQRT(LN((J21+J20^2)/J20^2))</f>
        <v>0.1688140001097975</v>
      </c>
    </row>
    <row r="29" spans="2:11" x14ac:dyDescent="0.3">
      <c r="B29" s="11">
        <f t="shared" si="0"/>
        <v>27</v>
      </c>
      <c r="C29" s="11">
        <v>101575.10017879299</v>
      </c>
      <c r="D29" s="180">
        <v>101575.10017879299</v>
      </c>
      <c r="H29" t="s">
        <v>96</v>
      </c>
      <c r="I29" s="178">
        <f>LOGINV(0.995,I27,I28)</f>
        <v>143131.60630831021</v>
      </c>
      <c r="K29" s="178">
        <f>LOGINV(0.995,K27,K28)</f>
        <v>144386.18718870741</v>
      </c>
    </row>
    <row r="30" spans="2:11" x14ac:dyDescent="0.3">
      <c r="B30" s="11">
        <f t="shared" si="0"/>
        <v>28</v>
      </c>
      <c r="C30" s="11">
        <v>113049.92298080648</v>
      </c>
      <c r="D30" s="180">
        <v>113049.92298080648</v>
      </c>
      <c r="I30" s="179">
        <f>I29/I25-1</f>
        <v>4.1706837204632308E-2</v>
      </c>
      <c r="K30" s="179">
        <f>K29/K25-1</f>
        <v>4.0938476631795284E-2</v>
      </c>
    </row>
    <row r="31" spans="2:11" x14ac:dyDescent="0.3">
      <c r="B31" s="11">
        <f t="shared" si="0"/>
        <v>29</v>
      </c>
      <c r="C31" s="11">
        <v>114181.64111693813</v>
      </c>
      <c r="D31" s="180">
        <v>114181.64111693813</v>
      </c>
    </row>
    <row r="32" spans="2:11" x14ac:dyDescent="0.3">
      <c r="B32" s="11">
        <f t="shared" si="0"/>
        <v>30</v>
      </c>
      <c r="C32" s="11">
        <v>111776.78447182689</v>
      </c>
      <c r="D32" s="180">
        <v>111776.78447182689</v>
      </c>
    </row>
    <row r="33" spans="2:4" x14ac:dyDescent="0.3">
      <c r="B33" s="11">
        <f t="shared" si="0"/>
        <v>31</v>
      </c>
      <c r="C33" s="11">
        <v>68906.774450922298</v>
      </c>
      <c r="D33" s="180">
        <v>66308.449337082653</v>
      </c>
    </row>
    <row r="34" spans="2:4" x14ac:dyDescent="0.3">
      <c r="B34" s="11">
        <f t="shared" si="0"/>
        <v>32</v>
      </c>
      <c r="C34" s="11">
        <v>83286.936281218965</v>
      </c>
      <c r="D34" s="180">
        <v>83286.936281218965</v>
      </c>
    </row>
    <row r="35" spans="2:4" x14ac:dyDescent="0.3">
      <c r="B35" s="11">
        <f t="shared" si="0"/>
        <v>33</v>
      </c>
      <c r="C35" s="11">
        <v>117794.07588766383</v>
      </c>
      <c r="D35" s="180">
        <v>117794.07588766383</v>
      </c>
    </row>
    <row r="36" spans="2:4" x14ac:dyDescent="0.3">
      <c r="B36" s="11">
        <f t="shared" si="0"/>
        <v>34</v>
      </c>
      <c r="C36" s="11">
        <v>117234.5185690841</v>
      </c>
      <c r="D36" s="180">
        <v>117234.5185690841</v>
      </c>
    </row>
    <row r="37" spans="2:4" x14ac:dyDescent="0.3">
      <c r="B37" s="11">
        <f t="shared" si="0"/>
        <v>35</v>
      </c>
      <c r="C37" s="11">
        <v>115027.86944829048</v>
      </c>
      <c r="D37" s="180">
        <v>115027.86944829048</v>
      </c>
    </row>
    <row r="38" spans="2:4" x14ac:dyDescent="0.3">
      <c r="B38" s="11">
        <f t="shared" si="0"/>
        <v>36</v>
      </c>
      <c r="C38" s="11">
        <v>115241.05978236403</v>
      </c>
      <c r="D38" s="180">
        <v>115241.05978236403</v>
      </c>
    </row>
    <row r="39" spans="2:4" x14ac:dyDescent="0.3">
      <c r="B39" s="11">
        <f t="shared" si="0"/>
        <v>37</v>
      </c>
      <c r="C39" s="11">
        <v>72131.937611452609</v>
      </c>
      <c r="D39" s="180">
        <v>72131.937611452609</v>
      </c>
    </row>
    <row r="40" spans="2:4" x14ac:dyDescent="0.3">
      <c r="B40" s="11">
        <f t="shared" si="0"/>
        <v>38</v>
      </c>
      <c r="C40" s="11">
        <v>70749.774316394949</v>
      </c>
      <c r="D40" s="180">
        <v>70749.774316394949</v>
      </c>
    </row>
    <row r="41" spans="2:4" x14ac:dyDescent="0.3">
      <c r="B41" s="11">
        <f t="shared" si="0"/>
        <v>39</v>
      </c>
      <c r="C41" s="11">
        <v>76375.741410530245</v>
      </c>
      <c r="D41" s="180">
        <v>76375.741410530245</v>
      </c>
    </row>
    <row r="42" spans="2:4" x14ac:dyDescent="0.3">
      <c r="B42" s="11">
        <f t="shared" si="0"/>
        <v>40</v>
      </c>
      <c r="C42" s="11">
        <v>115255.613855751</v>
      </c>
      <c r="D42" s="180">
        <v>115255.613855751</v>
      </c>
    </row>
    <row r="43" spans="2:4" x14ac:dyDescent="0.3">
      <c r="B43" s="11">
        <f t="shared" si="0"/>
        <v>41</v>
      </c>
      <c r="C43" s="11">
        <v>102937.18559222724</v>
      </c>
      <c r="D43" s="180">
        <v>102937.18559222724</v>
      </c>
    </row>
    <row r="44" spans="2:4" x14ac:dyDescent="0.3">
      <c r="B44" s="11">
        <f t="shared" si="0"/>
        <v>42</v>
      </c>
      <c r="C44" s="11">
        <v>92416.013841120788</v>
      </c>
      <c r="D44" s="180">
        <v>92416.013841120788</v>
      </c>
    </row>
    <row r="45" spans="2:4" x14ac:dyDescent="0.3">
      <c r="B45" s="11">
        <f t="shared" si="0"/>
        <v>43</v>
      </c>
      <c r="C45" s="11">
        <v>84529.22878268201</v>
      </c>
      <c r="D45" s="180">
        <v>84529.22878268201</v>
      </c>
    </row>
    <row r="46" spans="2:4" x14ac:dyDescent="0.3">
      <c r="B46" s="11">
        <f t="shared" si="0"/>
        <v>44</v>
      </c>
      <c r="C46" s="11">
        <v>106127.35009681706</v>
      </c>
      <c r="D46" s="180">
        <v>106127.35009681706</v>
      </c>
    </row>
    <row r="47" spans="2:4" x14ac:dyDescent="0.3">
      <c r="B47" s="11">
        <f t="shared" si="0"/>
        <v>45</v>
      </c>
      <c r="C47" s="11">
        <v>91956.517530728786</v>
      </c>
      <c r="D47" s="180">
        <v>91956.517530728786</v>
      </c>
    </row>
    <row r="48" spans="2:4" x14ac:dyDescent="0.3">
      <c r="B48" s="11">
        <f t="shared" si="0"/>
        <v>46</v>
      </c>
      <c r="C48" s="11">
        <v>86916.027903318638</v>
      </c>
      <c r="D48" s="180">
        <v>86916.027903318638</v>
      </c>
    </row>
    <row r="49" spans="2:4" x14ac:dyDescent="0.3">
      <c r="B49" s="11">
        <f t="shared" si="0"/>
        <v>47</v>
      </c>
      <c r="C49" s="11">
        <v>106461.00475658366</v>
      </c>
      <c r="D49" s="180">
        <v>106461.00475658366</v>
      </c>
    </row>
    <row r="50" spans="2:4" x14ac:dyDescent="0.3">
      <c r="B50" s="11">
        <f t="shared" si="0"/>
        <v>48</v>
      </c>
      <c r="C50" s="11">
        <v>83799.323643628682</v>
      </c>
      <c r="D50" s="180">
        <v>83799.323643628682</v>
      </c>
    </row>
    <row r="51" spans="2:4" x14ac:dyDescent="0.3">
      <c r="B51" s="11">
        <f t="shared" si="0"/>
        <v>49</v>
      </c>
      <c r="C51" s="11">
        <v>88057.685560570622</v>
      </c>
      <c r="D51" s="180">
        <v>88057.685560570622</v>
      </c>
    </row>
    <row r="52" spans="2:4" x14ac:dyDescent="0.3">
      <c r="B52" s="11">
        <f t="shared" si="0"/>
        <v>50</v>
      </c>
      <c r="C52" s="11">
        <v>81476.038900036176</v>
      </c>
      <c r="D52" s="180">
        <v>81476.038900036176</v>
      </c>
    </row>
    <row r="53" spans="2:4" x14ac:dyDescent="0.3">
      <c r="B53" s="11">
        <f t="shared" si="0"/>
        <v>51</v>
      </c>
      <c r="C53" s="11">
        <v>98266.79294792196</v>
      </c>
      <c r="D53" s="180">
        <v>98266.79294792196</v>
      </c>
    </row>
    <row r="54" spans="2:4" x14ac:dyDescent="0.3">
      <c r="B54" s="11">
        <f t="shared" si="0"/>
        <v>52</v>
      </c>
      <c r="C54" s="11">
        <v>91317.974136369652</v>
      </c>
      <c r="D54" s="180">
        <v>91317.974136369652</v>
      </c>
    </row>
    <row r="55" spans="2:4" x14ac:dyDescent="0.3">
      <c r="B55" s="11">
        <f t="shared" si="0"/>
        <v>53</v>
      </c>
      <c r="C55" s="11">
        <v>88692.503472548473</v>
      </c>
      <c r="D55" s="180">
        <v>88692.503472548473</v>
      </c>
    </row>
    <row r="56" spans="2:4" x14ac:dyDescent="0.3">
      <c r="B56" s="11">
        <f t="shared" si="0"/>
        <v>54</v>
      </c>
      <c r="C56" s="11">
        <v>91927.11371018205</v>
      </c>
      <c r="D56" s="180">
        <v>91927.11371018205</v>
      </c>
    </row>
    <row r="57" spans="2:4" x14ac:dyDescent="0.3">
      <c r="B57" s="11">
        <f t="shared" si="0"/>
        <v>55</v>
      </c>
      <c r="C57" s="11">
        <v>120373.05006448479</v>
      </c>
      <c r="D57" s="180">
        <v>123188.59149712134</v>
      </c>
    </row>
    <row r="58" spans="2:4" x14ac:dyDescent="0.3">
      <c r="B58" s="11">
        <f t="shared" si="0"/>
        <v>56</v>
      </c>
      <c r="C58" s="11">
        <v>66869.408730875788</v>
      </c>
      <c r="D58" s="180">
        <v>66869.408730875788</v>
      </c>
    </row>
    <row r="59" spans="2:4" x14ac:dyDescent="0.3">
      <c r="B59" s="11">
        <f t="shared" si="0"/>
        <v>57</v>
      </c>
      <c r="C59" s="11">
        <v>86407.632627426501</v>
      </c>
      <c r="D59" s="180">
        <v>86407.632627426501</v>
      </c>
    </row>
    <row r="60" spans="2:4" x14ac:dyDescent="0.3">
      <c r="B60" s="11">
        <f t="shared" si="0"/>
        <v>58</v>
      </c>
      <c r="C60" s="11">
        <v>76647.016382422124</v>
      </c>
      <c r="D60" s="180">
        <v>76647.016382422124</v>
      </c>
    </row>
    <row r="61" spans="2:4" x14ac:dyDescent="0.3">
      <c r="B61" s="11">
        <f t="shared" si="0"/>
        <v>59</v>
      </c>
      <c r="C61" s="11">
        <v>86920.57584533398</v>
      </c>
      <c r="D61" s="180">
        <v>86920.57584533398</v>
      </c>
    </row>
    <row r="62" spans="2:4" x14ac:dyDescent="0.3">
      <c r="B62" s="11">
        <f t="shared" si="0"/>
        <v>60</v>
      </c>
      <c r="C62" s="11">
        <v>96607.234841364989</v>
      </c>
      <c r="D62" s="180">
        <v>96607.234841364989</v>
      </c>
    </row>
    <row r="63" spans="2:4" x14ac:dyDescent="0.3">
      <c r="B63" s="11">
        <f t="shared" si="0"/>
        <v>61</v>
      </c>
      <c r="C63" s="11">
        <v>84916.645104763898</v>
      </c>
      <c r="D63" s="180">
        <v>84916.645104763898</v>
      </c>
    </row>
    <row r="64" spans="2:4" x14ac:dyDescent="0.3">
      <c r="B64" s="11">
        <f t="shared" si="0"/>
        <v>62</v>
      </c>
      <c r="C64" s="11">
        <v>83900.551494837113</v>
      </c>
      <c r="D64" s="180">
        <v>83900.551494837113</v>
      </c>
    </row>
    <row r="65" spans="2:4" x14ac:dyDescent="0.3">
      <c r="B65" s="11">
        <f t="shared" si="0"/>
        <v>63</v>
      </c>
      <c r="C65" s="11">
        <v>124038.55288092559</v>
      </c>
      <c r="D65" s="180">
        <v>126801.68990118064</v>
      </c>
    </row>
    <row r="66" spans="2:4" x14ac:dyDescent="0.3">
      <c r="B66" s="11">
        <f t="shared" si="0"/>
        <v>64</v>
      </c>
      <c r="C66" s="11">
        <v>95979.372100786306</v>
      </c>
      <c r="D66" s="180">
        <v>95979.372100786306</v>
      </c>
    </row>
    <row r="67" spans="2:4" x14ac:dyDescent="0.3">
      <c r="B67" s="11">
        <f t="shared" si="0"/>
        <v>65</v>
      </c>
      <c r="C67" s="11">
        <v>95674.208772059297</v>
      </c>
      <c r="D67" s="180">
        <v>95674.208772059297</v>
      </c>
    </row>
    <row r="68" spans="2:4" x14ac:dyDescent="0.3">
      <c r="B68" s="11">
        <f t="shared" si="0"/>
        <v>66</v>
      </c>
      <c r="C68" s="11">
        <v>113461.94588634663</v>
      </c>
      <c r="D68" s="180">
        <v>113461.94588634663</v>
      </c>
    </row>
    <row r="69" spans="2:4" x14ac:dyDescent="0.3">
      <c r="B69" s="11">
        <f t="shared" ref="B69:B132" si="2">B68+1</f>
        <v>67</v>
      </c>
      <c r="C69" s="11">
        <v>80830.108313669451</v>
      </c>
      <c r="D69" s="180">
        <v>80830.108313669451</v>
      </c>
    </row>
    <row r="70" spans="2:4" x14ac:dyDescent="0.3">
      <c r="B70" s="11">
        <f t="shared" si="2"/>
        <v>68</v>
      </c>
      <c r="C70" s="11">
        <v>101936.46710465096</v>
      </c>
      <c r="D70" s="180">
        <v>101936.46710465096</v>
      </c>
    </row>
    <row r="71" spans="2:4" x14ac:dyDescent="0.3">
      <c r="B71" s="11">
        <f t="shared" si="2"/>
        <v>69</v>
      </c>
      <c r="C71" s="11">
        <v>103231.3644054121</v>
      </c>
      <c r="D71" s="180">
        <v>103231.3644054121</v>
      </c>
    </row>
    <row r="72" spans="2:4" x14ac:dyDescent="0.3">
      <c r="B72" s="11">
        <f t="shared" si="2"/>
        <v>70</v>
      </c>
      <c r="C72" s="11">
        <v>109446.60109440974</v>
      </c>
      <c r="D72" s="180">
        <v>109446.60109440974</v>
      </c>
    </row>
    <row r="73" spans="2:4" x14ac:dyDescent="0.3">
      <c r="B73" s="11">
        <f t="shared" si="2"/>
        <v>71</v>
      </c>
      <c r="C73" s="11">
        <v>72876.467301833531</v>
      </c>
      <c r="D73" s="180">
        <v>72876.467301833531</v>
      </c>
    </row>
    <row r="74" spans="2:4" x14ac:dyDescent="0.3">
      <c r="B74" s="11">
        <f t="shared" si="2"/>
        <v>72</v>
      </c>
      <c r="C74" s="11">
        <v>94895.06040000607</v>
      </c>
      <c r="D74" s="180">
        <v>94895.06040000607</v>
      </c>
    </row>
    <row r="75" spans="2:4" x14ac:dyDescent="0.3">
      <c r="B75" s="11">
        <f t="shared" si="2"/>
        <v>73</v>
      </c>
      <c r="C75" s="11">
        <v>102280.40002506244</v>
      </c>
      <c r="D75" s="180">
        <v>103219.75946089716</v>
      </c>
    </row>
    <row r="76" spans="2:4" x14ac:dyDescent="0.3">
      <c r="B76" s="11">
        <f t="shared" si="2"/>
        <v>74</v>
      </c>
      <c r="C76" s="11">
        <v>68316.596822335894</v>
      </c>
      <c r="D76" s="180">
        <v>66336.463091143713</v>
      </c>
    </row>
    <row r="77" spans="2:4" x14ac:dyDescent="0.3">
      <c r="B77" s="11">
        <f t="shared" si="2"/>
        <v>75</v>
      </c>
      <c r="C77" s="11">
        <v>98414.482598289789</v>
      </c>
      <c r="D77" s="180">
        <v>98414.482598289789</v>
      </c>
    </row>
    <row r="78" spans="2:4" x14ac:dyDescent="0.3">
      <c r="B78" s="11">
        <f t="shared" si="2"/>
        <v>76</v>
      </c>
      <c r="C78" s="11">
        <v>74966.580158822122</v>
      </c>
      <c r="D78" s="180">
        <v>74966.580158822122</v>
      </c>
    </row>
    <row r="79" spans="2:4" x14ac:dyDescent="0.3">
      <c r="B79" s="11">
        <f t="shared" si="2"/>
        <v>77</v>
      </c>
      <c r="C79" s="11">
        <v>84160.021017479477</v>
      </c>
      <c r="D79" s="180">
        <v>84160.021017479477</v>
      </c>
    </row>
    <row r="80" spans="2:4" x14ac:dyDescent="0.3">
      <c r="B80" s="11">
        <f t="shared" si="2"/>
        <v>78</v>
      </c>
      <c r="C80" s="11">
        <v>136287.69237010085</v>
      </c>
      <c r="D80" s="180">
        <v>136287.69237010085</v>
      </c>
    </row>
    <row r="81" spans="2:4" x14ac:dyDescent="0.3">
      <c r="B81" s="11">
        <f t="shared" si="2"/>
        <v>79</v>
      </c>
      <c r="C81" s="11">
        <v>114428.53556042742</v>
      </c>
      <c r="D81" s="180">
        <v>116857.58922893905</v>
      </c>
    </row>
    <row r="82" spans="2:4" x14ac:dyDescent="0.3">
      <c r="B82" s="11">
        <f t="shared" si="2"/>
        <v>80</v>
      </c>
      <c r="C82" s="11">
        <v>75409.992324023042</v>
      </c>
      <c r="D82" s="180">
        <v>75409.992324023042</v>
      </c>
    </row>
    <row r="83" spans="2:4" x14ac:dyDescent="0.3">
      <c r="B83" s="11">
        <f t="shared" si="2"/>
        <v>81</v>
      </c>
      <c r="C83" s="11">
        <v>92359.502430498309</v>
      </c>
      <c r="D83" s="180">
        <v>92359.502430498309</v>
      </c>
    </row>
    <row r="84" spans="2:4" x14ac:dyDescent="0.3">
      <c r="B84" s="11">
        <f t="shared" si="2"/>
        <v>82</v>
      </c>
      <c r="C84" s="11">
        <v>104684.77352001624</v>
      </c>
      <c r="D84" s="180">
        <v>104684.77352001624</v>
      </c>
    </row>
    <row r="85" spans="2:4" x14ac:dyDescent="0.3">
      <c r="B85" s="11">
        <f t="shared" si="2"/>
        <v>83</v>
      </c>
      <c r="C85" s="11">
        <v>91124.325264023471</v>
      </c>
      <c r="D85" s="180">
        <v>91124.325264023471</v>
      </c>
    </row>
    <row r="86" spans="2:4" x14ac:dyDescent="0.3">
      <c r="B86" s="11">
        <f t="shared" si="2"/>
        <v>84</v>
      </c>
      <c r="C86" s="11">
        <v>87373.11526462216</v>
      </c>
      <c r="D86" s="180">
        <v>87373.11526462216</v>
      </c>
    </row>
    <row r="87" spans="2:4" x14ac:dyDescent="0.3">
      <c r="B87" s="11">
        <f t="shared" si="2"/>
        <v>85</v>
      </c>
      <c r="C87" s="11">
        <v>97907.381066624264</v>
      </c>
      <c r="D87" s="180">
        <v>97907.381066624264</v>
      </c>
    </row>
    <row r="88" spans="2:4" x14ac:dyDescent="0.3">
      <c r="B88" s="11">
        <f t="shared" si="2"/>
        <v>86</v>
      </c>
      <c r="C88" s="11">
        <v>82303.395496306141</v>
      </c>
      <c r="D88" s="180">
        <v>82303.395496306141</v>
      </c>
    </row>
    <row r="89" spans="2:4" x14ac:dyDescent="0.3">
      <c r="B89" s="11">
        <f t="shared" si="2"/>
        <v>87</v>
      </c>
      <c r="C89" s="11">
        <v>127902.12234490059</v>
      </c>
      <c r="D89" s="180">
        <v>129520.17520099969</v>
      </c>
    </row>
    <row r="90" spans="2:4" x14ac:dyDescent="0.3">
      <c r="B90" s="11">
        <f t="shared" si="2"/>
        <v>88</v>
      </c>
      <c r="C90" s="11">
        <v>78117.669995972959</v>
      </c>
      <c r="D90" s="180">
        <v>78117.669995972959</v>
      </c>
    </row>
    <row r="91" spans="2:4" x14ac:dyDescent="0.3">
      <c r="B91" s="11">
        <f t="shared" si="2"/>
        <v>89</v>
      </c>
      <c r="C91" s="11">
        <v>122130.84074158686</v>
      </c>
      <c r="D91" s="180">
        <v>122130.84074158686</v>
      </c>
    </row>
    <row r="92" spans="2:4" x14ac:dyDescent="0.3">
      <c r="B92" s="11">
        <f t="shared" si="2"/>
        <v>90</v>
      </c>
      <c r="C92" s="11">
        <v>79529.56082159096</v>
      </c>
      <c r="D92" s="180">
        <v>79529.56082159096</v>
      </c>
    </row>
    <row r="93" spans="2:4" x14ac:dyDescent="0.3">
      <c r="B93" s="11">
        <f t="shared" si="2"/>
        <v>91</v>
      </c>
      <c r="C93" s="11">
        <v>88403.706632342466</v>
      </c>
      <c r="D93" s="180">
        <v>88403.706632342466</v>
      </c>
    </row>
    <row r="94" spans="2:4" x14ac:dyDescent="0.3">
      <c r="B94" s="11">
        <f t="shared" si="2"/>
        <v>92</v>
      </c>
      <c r="C94" s="11">
        <v>103801.5215984984</v>
      </c>
      <c r="D94" s="180">
        <v>103801.5215984984</v>
      </c>
    </row>
    <row r="95" spans="2:4" x14ac:dyDescent="0.3">
      <c r="B95" s="11">
        <f t="shared" si="2"/>
        <v>93</v>
      </c>
      <c r="C95" s="11">
        <v>87149.506158360644</v>
      </c>
      <c r="D95" s="180">
        <v>87149.506158360644</v>
      </c>
    </row>
    <row r="96" spans="2:4" x14ac:dyDescent="0.3">
      <c r="B96" s="11">
        <f t="shared" si="2"/>
        <v>94</v>
      </c>
      <c r="C96" s="11">
        <v>101567.68401332057</v>
      </c>
      <c r="D96" s="180">
        <v>99388.67170360095</v>
      </c>
    </row>
    <row r="97" spans="2:4" x14ac:dyDescent="0.3">
      <c r="B97" s="11">
        <f t="shared" si="2"/>
        <v>95</v>
      </c>
      <c r="C97" s="11">
        <v>110486.8958961093</v>
      </c>
      <c r="D97" s="180">
        <v>110486.8958961093</v>
      </c>
    </row>
    <row r="98" spans="2:4" x14ac:dyDescent="0.3">
      <c r="B98" s="11">
        <f t="shared" si="2"/>
        <v>96</v>
      </c>
      <c r="C98" s="11">
        <v>111586.66500752486</v>
      </c>
      <c r="D98" s="180">
        <v>111586.66500752486</v>
      </c>
    </row>
    <row r="99" spans="2:4" x14ac:dyDescent="0.3">
      <c r="B99" s="11">
        <f t="shared" si="2"/>
        <v>97</v>
      </c>
      <c r="C99" s="11">
        <v>79232.317733876276</v>
      </c>
      <c r="D99" s="180">
        <v>79232.317733876276</v>
      </c>
    </row>
    <row r="100" spans="2:4" x14ac:dyDescent="0.3">
      <c r="B100" s="11">
        <f t="shared" si="2"/>
        <v>98</v>
      </c>
      <c r="C100" s="11">
        <v>96400.320583421912</v>
      </c>
      <c r="D100" s="180">
        <v>96400.320583421912</v>
      </c>
    </row>
    <row r="101" spans="2:4" x14ac:dyDescent="0.3">
      <c r="B101" s="11">
        <f t="shared" si="2"/>
        <v>99</v>
      </c>
      <c r="C101" s="11">
        <v>81940.546288714177</v>
      </c>
      <c r="D101" s="180">
        <v>81940.546288714177</v>
      </c>
    </row>
    <row r="102" spans="2:4" x14ac:dyDescent="0.3">
      <c r="B102" s="11">
        <f t="shared" si="2"/>
        <v>100</v>
      </c>
      <c r="C102" s="11">
        <v>107365.32717642051</v>
      </c>
      <c r="D102" s="180">
        <v>110481.70877206144</v>
      </c>
    </row>
    <row r="103" spans="2:4" x14ac:dyDescent="0.3">
      <c r="B103" s="11">
        <f t="shared" si="2"/>
        <v>101</v>
      </c>
      <c r="C103" s="11">
        <v>107098.89425721456</v>
      </c>
      <c r="D103" s="180">
        <v>107098.89425721456</v>
      </c>
    </row>
    <row r="104" spans="2:4" x14ac:dyDescent="0.3">
      <c r="B104" s="11">
        <f t="shared" si="2"/>
        <v>102</v>
      </c>
      <c r="C104" s="11">
        <v>114752.83224081516</v>
      </c>
      <c r="D104" s="180">
        <v>114752.83224081516</v>
      </c>
    </row>
    <row r="105" spans="2:4" x14ac:dyDescent="0.3">
      <c r="B105" s="11">
        <f t="shared" si="2"/>
        <v>103</v>
      </c>
      <c r="C105" s="11">
        <v>105596.20936671343</v>
      </c>
      <c r="D105" s="180">
        <v>105596.20936671343</v>
      </c>
    </row>
    <row r="106" spans="2:4" x14ac:dyDescent="0.3">
      <c r="B106" s="11">
        <f t="shared" si="2"/>
        <v>104</v>
      </c>
      <c r="C106" s="11">
        <v>74769.667673111253</v>
      </c>
      <c r="D106" s="180">
        <v>74769.667673111253</v>
      </c>
    </row>
    <row r="107" spans="2:4" x14ac:dyDescent="0.3">
      <c r="B107" s="11">
        <f t="shared" si="2"/>
        <v>105</v>
      </c>
      <c r="C107" s="11">
        <v>69498.309270735932</v>
      </c>
      <c r="D107" s="180">
        <v>69498.309270735932</v>
      </c>
    </row>
    <row r="108" spans="2:4" x14ac:dyDescent="0.3">
      <c r="B108" s="11">
        <f t="shared" si="2"/>
        <v>106</v>
      </c>
      <c r="C108" s="11">
        <v>97028.989230581123</v>
      </c>
      <c r="D108" s="180">
        <v>97028.989230581123</v>
      </c>
    </row>
    <row r="109" spans="2:4" x14ac:dyDescent="0.3">
      <c r="B109" s="11">
        <f t="shared" si="2"/>
        <v>107</v>
      </c>
      <c r="C109" s="11">
        <v>79482.217562905906</v>
      </c>
      <c r="D109" s="180">
        <v>79482.217562905906</v>
      </c>
    </row>
    <row r="110" spans="2:4" x14ac:dyDescent="0.3">
      <c r="B110" s="11">
        <f t="shared" si="2"/>
        <v>108</v>
      </c>
      <c r="C110" s="11">
        <v>109136.69601435607</v>
      </c>
      <c r="D110" s="180">
        <v>109136.69601435607</v>
      </c>
    </row>
    <row r="111" spans="2:4" x14ac:dyDescent="0.3">
      <c r="B111" s="11">
        <f t="shared" si="2"/>
        <v>109</v>
      </c>
      <c r="C111" s="11">
        <v>86329.082060162065</v>
      </c>
      <c r="D111" s="180">
        <v>86329.082060162065</v>
      </c>
    </row>
    <row r="112" spans="2:4" x14ac:dyDescent="0.3">
      <c r="B112" s="11">
        <f t="shared" si="2"/>
        <v>110</v>
      </c>
      <c r="C112" s="11">
        <v>80192.374109728102</v>
      </c>
      <c r="D112" s="180">
        <v>80192.374109728102</v>
      </c>
    </row>
    <row r="113" spans="2:4" x14ac:dyDescent="0.3">
      <c r="B113" s="11">
        <f t="shared" si="2"/>
        <v>111</v>
      </c>
      <c r="C113" s="11">
        <v>109285.45716873088</v>
      </c>
      <c r="D113" s="180">
        <v>109285.45716873088</v>
      </c>
    </row>
    <row r="114" spans="2:4" x14ac:dyDescent="0.3">
      <c r="B114" s="11">
        <f t="shared" si="2"/>
        <v>112</v>
      </c>
      <c r="C114" s="11">
        <v>100878.3617855099</v>
      </c>
      <c r="D114" s="180">
        <v>100878.3617855099</v>
      </c>
    </row>
    <row r="115" spans="2:4" x14ac:dyDescent="0.3">
      <c r="B115" s="11">
        <f t="shared" si="2"/>
        <v>113</v>
      </c>
      <c r="C115" s="11">
        <v>99563.917207327628</v>
      </c>
      <c r="D115" s="180">
        <v>99563.917207327628</v>
      </c>
    </row>
    <row r="116" spans="2:4" x14ac:dyDescent="0.3">
      <c r="B116" s="11">
        <f t="shared" si="2"/>
        <v>114</v>
      </c>
      <c r="C116" s="11">
        <v>95266.404510167064</v>
      </c>
      <c r="D116" s="180">
        <v>95266.404510167064</v>
      </c>
    </row>
    <row r="117" spans="2:4" x14ac:dyDescent="0.3">
      <c r="B117" s="11">
        <f t="shared" si="2"/>
        <v>115</v>
      </c>
      <c r="C117" s="11">
        <v>80665.22745817031</v>
      </c>
      <c r="D117" s="180">
        <v>80665.22745817031</v>
      </c>
    </row>
    <row r="118" spans="2:4" x14ac:dyDescent="0.3">
      <c r="B118" s="11">
        <f t="shared" si="2"/>
        <v>116</v>
      </c>
      <c r="C118" s="11">
        <v>138705.61460220619</v>
      </c>
      <c r="D118" s="180">
        <v>138705.61460220619</v>
      </c>
    </row>
    <row r="119" spans="2:4" x14ac:dyDescent="0.3">
      <c r="B119" s="11">
        <f t="shared" si="2"/>
        <v>117</v>
      </c>
      <c r="C119" s="11">
        <v>131291.19708211225</v>
      </c>
      <c r="D119" s="180">
        <v>131291.19708211225</v>
      </c>
    </row>
    <row r="120" spans="2:4" x14ac:dyDescent="0.3">
      <c r="B120" s="11">
        <f t="shared" si="2"/>
        <v>118</v>
      </c>
      <c r="C120" s="11">
        <v>103884.35420003903</v>
      </c>
      <c r="D120" s="180">
        <v>103884.35420003903</v>
      </c>
    </row>
    <row r="121" spans="2:4" x14ac:dyDescent="0.3">
      <c r="B121" s="11">
        <f t="shared" si="2"/>
        <v>119</v>
      </c>
      <c r="C121" s="11">
        <v>95061.670050817498</v>
      </c>
      <c r="D121" s="180">
        <v>95061.670050817498</v>
      </c>
    </row>
    <row r="122" spans="2:4" x14ac:dyDescent="0.3">
      <c r="B122" s="11">
        <f t="shared" si="2"/>
        <v>120</v>
      </c>
      <c r="C122" s="11">
        <v>114807.21688067766</v>
      </c>
      <c r="D122" s="180">
        <v>114807.21688067766</v>
      </c>
    </row>
    <row r="123" spans="2:4" x14ac:dyDescent="0.3">
      <c r="B123" s="11">
        <f t="shared" si="2"/>
        <v>121</v>
      </c>
      <c r="C123" s="11">
        <v>78806.347108455608</v>
      </c>
      <c r="D123" s="180">
        <v>78806.347108455608</v>
      </c>
    </row>
    <row r="124" spans="2:4" x14ac:dyDescent="0.3">
      <c r="B124" s="11">
        <f t="shared" si="2"/>
        <v>122</v>
      </c>
      <c r="C124" s="11">
        <v>96451.019772551852</v>
      </c>
      <c r="D124" s="180">
        <v>96451.019772551852</v>
      </c>
    </row>
    <row r="125" spans="2:4" x14ac:dyDescent="0.3">
      <c r="B125" s="11">
        <f t="shared" si="2"/>
        <v>123</v>
      </c>
      <c r="C125" s="11">
        <v>96403.571303780031</v>
      </c>
      <c r="D125" s="180">
        <v>96403.571303780031</v>
      </c>
    </row>
    <row r="126" spans="2:4" x14ac:dyDescent="0.3">
      <c r="B126" s="11">
        <f t="shared" si="2"/>
        <v>124</v>
      </c>
      <c r="C126" s="11">
        <v>103669.15395915492</v>
      </c>
      <c r="D126" s="180">
        <v>103669.15395915492</v>
      </c>
    </row>
    <row r="127" spans="2:4" x14ac:dyDescent="0.3">
      <c r="B127" s="11">
        <f t="shared" si="2"/>
        <v>125</v>
      </c>
      <c r="C127" s="11">
        <v>84554.591646681627</v>
      </c>
      <c r="D127" s="180">
        <v>84554.591646681627</v>
      </c>
    </row>
    <row r="128" spans="2:4" x14ac:dyDescent="0.3">
      <c r="B128" s="11">
        <f t="shared" si="2"/>
        <v>126</v>
      </c>
      <c r="C128" s="11">
        <v>81889.611662881231</v>
      </c>
      <c r="D128" s="180">
        <v>81889.611662881231</v>
      </c>
    </row>
    <row r="129" spans="2:4" x14ac:dyDescent="0.3">
      <c r="B129" s="11">
        <f t="shared" si="2"/>
        <v>127</v>
      </c>
      <c r="C129" s="11">
        <v>116947.78032639188</v>
      </c>
      <c r="D129" s="180">
        <v>116947.78032639188</v>
      </c>
    </row>
    <row r="130" spans="2:4" x14ac:dyDescent="0.3">
      <c r="B130" s="11">
        <f t="shared" si="2"/>
        <v>128</v>
      </c>
      <c r="C130" s="11">
        <v>122711.56802123503</v>
      </c>
      <c r="D130" s="180">
        <v>122711.56802123503</v>
      </c>
    </row>
    <row r="131" spans="2:4" x14ac:dyDescent="0.3">
      <c r="B131" s="11">
        <f t="shared" si="2"/>
        <v>129</v>
      </c>
      <c r="C131" s="11">
        <v>120207.9309695203</v>
      </c>
      <c r="D131" s="180">
        <v>121657.31929267304</v>
      </c>
    </row>
    <row r="132" spans="2:4" x14ac:dyDescent="0.3">
      <c r="B132" s="11">
        <f t="shared" si="2"/>
        <v>130</v>
      </c>
      <c r="C132" s="11">
        <v>127709.69787093492</v>
      </c>
      <c r="D132" s="180">
        <v>127709.69787093492</v>
      </c>
    </row>
    <row r="133" spans="2:4" x14ac:dyDescent="0.3">
      <c r="B133" s="11">
        <f t="shared" ref="B133:B196" si="3">B132+1</f>
        <v>131</v>
      </c>
      <c r="C133" s="11">
        <v>129045.55279068594</v>
      </c>
      <c r="D133" s="180">
        <v>129045.55279068594</v>
      </c>
    </row>
    <row r="134" spans="2:4" x14ac:dyDescent="0.3">
      <c r="B134" s="11">
        <f t="shared" si="3"/>
        <v>132</v>
      </c>
      <c r="C134" s="11">
        <v>101172.26601270831</v>
      </c>
      <c r="D134" s="180">
        <v>103104.45527668241</v>
      </c>
    </row>
    <row r="135" spans="2:4" x14ac:dyDescent="0.3">
      <c r="B135" s="11">
        <f t="shared" si="3"/>
        <v>133</v>
      </c>
      <c r="C135" s="11">
        <v>81877.584087204363</v>
      </c>
      <c r="D135" s="180">
        <v>81877.584087204363</v>
      </c>
    </row>
    <row r="136" spans="2:4" x14ac:dyDescent="0.3">
      <c r="B136" s="11">
        <f t="shared" si="3"/>
        <v>134</v>
      </c>
      <c r="C136" s="11">
        <v>71535.404556104273</v>
      </c>
      <c r="D136" s="180">
        <v>71535.404556104273</v>
      </c>
    </row>
    <row r="137" spans="2:4" x14ac:dyDescent="0.3">
      <c r="B137" s="11">
        <f t="shared" si="3"/>
        <v>135</v>
      </c>
      <c r="C137" s="11">
        <v>79517.902558731192</v>
      </c>
      <c r="D137" s="180">
        <v>77472.741065079492</v>
      </c>
    </row>
    <row r="138" spans="2:4" x14ac:dyDescent="0.3">
      <c r="B138" s="11">
        <f t="shared" si="3"/>
        <v>136</v>
      </c>
      <c r="C138" s="11">
        <v>70833.697764767392</v>
      </c>
      <c r="D138" s="180">
        <v>70833.697764767392</v>
      </c>
    </row>
    <row r="139" spans="2:4" x14ac:dyDescent="0.3">
      <c r="B139" s="11">
        <f t="shared" si="3"/>
        <v>137</v>
      </c>
      <c r="C139" s="11">
        <v>91433.600816670558</v>
      </c>
      <c r="D139" s="180">
        <v>89556.430652989831</v>
      </c>
    </row>
    <row r="140" spans="2:4" x14ac:dyDescent="0.3">
      <c r="B140" s="11">
        <f t="shared" si="3"/>
        <v>138</v>
      </c>
      <c r="C140" s="11">
        <v>108935.8496895896</v>
      </c>
      <c r="D140" s="180">
        <v>108935.8496895896</v>
      </c>
    </row>
    <row r="141" spans="2:4" x14ac:dyDescent="0.3">
      <c r="B141" s="11">
        <f t="shared" si="3"/>
        <v>139</v>
      </c>
      <c r="C141" s="11">
        <v>63230.769446643753</v>
      </c>
      <c r="D141" s="180">
        <v>63230.769446643753</v>
      </c>
    </row>
    <row r="142" spans="2:4" x14ac:dyDescent="0.3">
      <c r="B142" s="11">
        <f t="shared" si="3"/>
        <v>140</v>
      </c>
      <c r="C142" s="11">
        <v>86841.200829184367</v>
      </c>
      <c r="D142" s="180">
        <v>86841.200829184367</v>
      </c>
    </row>
    <row r="143" spans="2:4" x14ac:dyDescent="0.3">
      <c r="B143" s="11">
        <f t="shared" si="3"/>
        <v>141</v>
      </c>
      <c r="C143" s="11">
        <v>104202.79594941795</v>
      </c>
      <c r="D143" s="180">
        <v>104202.79594941795</v>
      </c>
    </row>
    <row r="144" spans="2:4" x14ac:dyDescent="0.3">
      <c r="B144" s="11">
        <f t="shared" si="3"/>
        <v>142</v>
      </c>
      <c r="C144" s="11">
        <v>86517.143787799301</v>
      </c>
      <c r="D144" s="180">
        <v>86517.143787799301</v>
      </c>
    </row>
    <row r="145" spans="2:4" x14ac:dyDescent="0.3">
      <c r="B145" s="11">
        <f t="shared" si="3"/>
        <v>143</v>
      </c>
      <c r="C145" s="11">
        <v>84682.356636338431</v>
      </c>
      <c r="D145" s="180">
        <v>84682.356636338431</v>
      </c>
    </row>
    <row r="146" spans="2:4" x14ac:dyDescent="0.3">
      <c r="B146" s="11">
        <f t="shared" si="3"/>
        <v>144</v>
      </c>
      <c r="C146" s="11">
        <v>99100.75361062889</v>
      </c>
      <c r="D146" s="180">
        <v>99100.75361062889</v>
      </c>
    </row>
    <row r="147" spans="2:4" x14ac:dyDescent="0.3">
      <c r="B147" s="11">
        <f t="shared" si="3"/>
        <v>145</v>
      </c>
      <c r="C147" s="11">
        <v>104192.18267180254</v>
      </c>
      <c r="D147" s="180">
        <v>104192.18267180254</v>
      </c>
    </row>
    <row r="148" spans="2:4" x14ac:dyDescent="0.3">
      <c r="B148" s="11">
        <f t="shared" si="3"/>
        <v>146</v>
      </c>
      <c r="C148" s="11">
        <v>97913.359240433041</v>
      </c>
      <c r="D148" s="180">
        <v>97913.359240433041</v>
      </c>
    </row>
    <row r="149" spans="2:4" x14ac:dyDescent="0.3">
      <c r="B149" s="11">
        <f t="shared" si="3"/>
        <v>147</v>
      </c>
      <c r="C149" s="11">
        <v>86839.244076563555</v>
      </c>
      <c r="D149" s="180">
        <v>86839.244076563555</v>
      </c>
    </row>
    <row r="150" spans="2:4" x14ac:dyDescent="0.3">
      <c r="B150" s="11">
        <f t="shared" si="3"/>
        <v>148</v>
      </c>
      <c r="C150" s="11">
        <v>104387.76338197512</v>
      </c>
      <c r="D150" s="180">
        <v>104387.76338197512</v>
      </c>
    </row>
    <row r="151" spans="2:4" x14ac:dyDescent="0.3">
      <c r="B151" s="11">
        <f t="shared" si="3"/>
        <v>149</v>
      </c>
      <c r="C151" s="11">
        <v>106672.28928153633</v>
      </c>
      <c r="D151" s="180">
        <v>108871.11593354304</v>
      </c>
    </row>
    <row r="152" spans="2:4" x14ac:dyDescent="0.3">
      <c r="B152" s="11">
        <f t="shared" si="3"/>
        <v>150</v>
      </c>
      <c r="C152" s="11">
        <v>110851.5533536735</v>
      </c>
      <c r="D152" s="180">
        <v>110851.5533536735</v>
      </c>
    </row>
    <row r="153" spans="2:4" x14ac:dyDescent="0.3">
      <c r="B153" s="11">
        <f t="shared" si="3"/>
        <v>151</v>
      </c>
      <c r="C153" s="11">
        <v>79325.887511874476</v>
      </c>
      <c r="D153" s="180">
        <v>79325.887511874476</v>
      </c>
    </row>
    <row r="154" spans="2:4" x14ac:dyDescent="0.3">
      <c r="B154" s="11">
        <f t="shared" si="3"/>
        <v>152</v>
      </c>
      <c r="C154" s="11">
        <v>99006.906925553427</v>
      </c>
      <c r="D154" s="180">
        <v>99006.906925553427</v>
      </c>
    </row>
    <row r="155" spans="2:4" x14ac:dyDescent="0.3">
      <c r="B155" s="11">
        <f t="shared" si="3"/>
        <v>153</v>
      </c>
      <c r="C155" s="11">
        <v>119930.57739094833</v>
      </c>
      <c r="D155" s="180">
        <v>119930.57739094833</v>
      </c>
    </row>
    <row r="156" spans="2:4" x14ac:dyDescent="0.3">
      <c r="B156" s="11">
        <f t="shared" si="3"/>
        <v>154</v>
      </c>
      <c r="C156" s="11">
        <v>87884.122868585662</v>
      </c>
      <c r="D156" s="180">
        <v>85886.182541692498</v>
      </c>
    </row>
    <row r="157" spans="2:4" x14ac:dyDescent="0.3">
      <c r="B157" s="11">
        <f t="shared" si="3"/>
        <v>155</v>
      </c>
      <c r="C157" s="11">
        <v>86964.196979073153</v>
      </c>
      <c r="D157" s="180">
        <v>86964.196979073153</v>
      </c>
    </row>
    <row r="158" spans="2:4" x14ac:dyDescent="0.3">
      <c r="B158" s="11">
        <f t="shared" si="3"/>
        <v>156</v>
      </c>
      <c r="C158" s="11">
        <v>93244.23411197291</v>
      </c>
      <c r="D158" s="180">
        <v>93244.23411197291</v>
      </c>
    </row>
    <row r="159" spans="2:4" x14ac:dyDescent="0.3">
      <c r="B159" s="11">
        <f t="shared" si="3"/>
        <v>157</v>
      </c>
      <c r="C159" s="11">
        <v>82241.489685437147</v>
      </c>
      <c r="D159" s="180">
        <v>80923.443367242988</v>
      </c>
    </row>
    <row r="160" spans="2:4" x14ac:dyDescent="0.3">
      <c r="B160" s="11">
        <f t="shared" si="3"/>
        <v>158</v>
      </c>
      <c r="C160" s="11">
        <v>107179.14134801696</v>
      </c>
      <c r="D160" s="180">
        <v>108840.40492005485</v>
      </c>
    </row>
    <row r="161" spans="2:4" x14ac:dyDescent="0.3">
      <c r="B161" s="11">
        <f t="shared" si="3"/>
        <v>159</v>
      </c>
      <c r="C161" s="11">
        <v>81593.485885649861</v>
      </c>
      <c r="D161" s="180">
        <v>79280.347041214161</v>
      </c>
    </row>
    <row r="162" spans="2:4" x14ac:dyDescent="0.3">
      <c r="B162" s="11">
        <f t="shared" si="3"/>
        <v>160</v>
      </c>
      <c r="C162" s="11">
        <v>69915.653399547111</v>
      </c>
      <c r="D162" s="180">
        <v>69915.653399547111</v>
      </c>
    </row>
    <row r="163" spans="2:4" x14ac:dyDescent="0.3">
      <c r="B163" s="11">
        <f t="shared" si="3"/>
        <v>161</v>
      </c>
      <c r="C163" s="11">
        <v>119325.45491841597</v>
      </c>
      <c r="D163" s="180">
        <v>119325.45491841597</v>
      </c>
    </row>
    <row r="164" spans="2:4" x14ac:dyDescent="0.3">
      <c r="B164" s="11">
        <f t="shared" si="3"/>
        <v>162</v>
      </c>
      <c r="C164" s="11">
        <v>98817.688936415871</v>
      </c>
      <c r="D164" s="180">
        <v>98817.688936415871</v>
      </c>
    </row>
    <row r="165" spans="2:4" x14ac:dyDescent="0.3">
      <c r="B165" s="11">
        <f t="shared" si="3"/>
        <v>163</v>
      </c>
      <c r="C165" s="11">
        <v>99254.938149297785</v>
      </c>
      <c r="D165" s="180">
        <v>99254.938149297785</v>
      </c>
    </row>
    <row r="166" spans="2:4" x14ac:dyDescent="0.3">
      <c r="B166" s="11">
        <f t="shared" si="3"/>
        <v>164</v>
      </c>
      <c r="C166" s="11">
        <v>60753.44986910891</v>
      </c>
      <c r="D166" s="180">
        <v>60753.44986910891</v>
      </c>
    </row>
    <row r="167" spans="2:4" x14ac:dyDescent="0.3">
      <c r="B167" s="11">
        <f t="shared" si="3"/>
        <v>165</v>
      </c>
      <c r="C167" s="11">
        <v>116004.26640849654</v>
      </c>
      <c r="D167" s="180">
        <v>116004.26640849654</v>
      </c>
    </row>
    <row r="168" spans="2:4" x14ac:dyDescent="0.3">
      <c r="B168" s="11">
        <f t="shared" si="3"/>
        <v>166</v>
      </c>
      <c r="C168" s="11">
        <v>88916.000827118143</v>
      </c>
      <c r="D168" s="180">
        <v>88916.000827118143</v>
      </c>
    </row>
    <row r="169" spans="2:4" x14ac:dyDescent="0.3">
      <c r="B169" s="11">
        <f t="shared" si="3"/>
        <v>167</v>
      </c>
      <c r="C169" s="11">
        <v>131599.22502432251</v>
      </c>
      <c r="D169" s="180">
        <v>131599.22502432251</v>
      </c>
    </row>
    <row r="170" spans="2:4" x14ac:dyDescent="0.3">
      <c r="B170" s="11">
        <f t="shared" si="3"/>
        <v>168</v>
      </c>
      <c r="C170" s="11">
        <v>106890.69953767167</v>
      </c>
      <c r="D170" s="180">
        <v>106890.69953767167</v>
      </c>
    </row>
    <row r="171" spans="2:4" x14ac:dyDescent="0.3">
      <c r="B171" s="11">
        <f t="shared" si="3"/>
        <v>169</v>
      </c>
      <c r="C171" s="11">
        <v>95107.038247948411</v>
      </c>
      <c r="D171" s="180">
        <v>95107.038247948411</v>
      </c>
    </row>
    <row r="172" spans="2:4" x14ac:dyDescent="0.3">
      <c r="B172" s="11">
        <f t="shared" si="3"/>
        <v>170</v>
      </c>
      <c r="C172" s="11">
        <v>98730.237284646268</v>
      </c>
      <c r="D172" s="180">
        <v>98730.237284646268</v>
      </c>
    </row>
    <row r="173" spans="2:4" x14ac:dyDescent="0.3">
      <c r="B173" s="11">
        <f t="shared" si="3"/>
        <v>171</v>
      </c>
      <c r="C173" s="11">
        <v>111417.32056658671</v>
      </c>
      <c r="D173" s="180">
        <v>111417.32056658671</v>
      </c>
    </row>
    <row r="174" spans="2:4" x14ac:dyDescent="0.3">
      <c r="B174" s="11">
        <f t="shared" si="3"/>
        <v>172</v>
      </c>
      <c r="C174" s="11">
        <v>100727.97330783347</v>
      </c>
      <c r="D174" s="180">
        <v>100727.97330783347</v>
      </c>
    </row>
    <row r="175" spans="2:4" x14ac:dyDescent="0.3">
      <c r="B175" s="11">
        <f t="shared" si="3"/>
        <v>173</v>
      </c>
      <c r="C175" s="11">
        <v>123045.71919109624</v>
      </c>
      <c r="D175" s="180">
        <v>124803.47135368653</v>
      </c>
    </row>
    <row r="176" spans="2:4" x14ac:dyDescent="0.3">
      <c r="B176" s="11">
        <f t="shared" si="3"/>
        <v>174</v>
      </c>
      <c r="C176" s="11">
        <v>77973.78598042528</v>
      </c>
      <c r="D176" s="180">
        <v>77973.78598042528</v>
      </c>
    </row>
    <row r="177" spans="2:4" x14ac:dyDescent="0.3">
      <c r="B177" s="11">
        <f t="shared" si="3"/>
        <v>175</v>
      </c>
      <c r="C177" s="11">
        <v>123181.13748712061</v>
      </c>
      <c r="D177" s="180">
        <v>126222.36292789085</v>
      </c>
    </row>
    <row r="178" spans="2:4" x14ac:dyDescent="0.3">
      <c r="B178" s="11">
        <f t="shared" si="3"/>
        <v>176</v>
      </c>
      <c r="C178" s="11">
        <v>111092.65069822781</v>
      </c>
      <c r="D178" s="180">
        <v>111092.65069822781</v>
      </c>
    </row>
    <row r="179" spans="2:4" x14ac:dyDescent="0.3">
      <c r="B179" s="11">
        <f t="shared" si="3"/>
        <v>177</v>
      </c>
      <c r="C179" s="11">
        <v>131391.5863348227</v>
      </c>
      <c r="D179" s="180">
        <v>131391.5863348227</v>
      </c>
    </row>
    <row r="180" spans="2:4" x14ac:dyDescent="0.3">
      <c r="B180" s="11">
        <f t="shared" si="3"/>
        <v>178</v>
      </c>
      <c r="C180" s="11">
        <v>88177.274606959429</v>
      </c>
      <c r="D180" s="180">
        <v>88177.274606959429</v>
      </c>
    </row>
    <row r="181" spans="2:4" x14ac:dyDescent="0.3">
      <c r="B181" s="11">
        <f t="shared" si="3"/>
        <v>179</v>
      </c>
      <c r="C181" s="11">
        <v>95750.185237874655</v>
      </c>
      <c r="D181" s="180">
        <v>95750.185237874655</v>
      </c>
    </row>
    <row r="182" spans="2:4" x14ac:dyDescent="0.3">
      <c r="B182" s="11">
        <f t="shared" si="3"/>
        <v>180</v>
      </c>
      <c r="C182" s="11">
        <v>79928.60091911997</v>
      </c>
      <c r="D182" s="180">
        <v>79928.60091911997</v>
      </c>
    </row>
    <row r="183" spans="2:4" x14ac:dyDescent="0.3">
      <c r="B183" s="11">
        <f t="shared" si="3"/>
        <v>181</v>
      </c>
      <c r="C183" s="11">
        <v>101910.72815030935</v>
      </c>
      <c r="D183" s="180">
        <v>101910.72815030935</v>
      </c>
    </row>
    <row r="184" spans="2:4" x14ac:dyDescent="0.3">
      <c r="B184" s="11">
        <f t="shared" si="3"/>
        <v>182</v>
      </c>
      <c r="C184" s="11">
        <v>112300.0169791245</v>
      </c>
      <c r="D184" s="180">
        <v>112300.0169791245</v>
      </c>
    </row>
    <row r="185" spans="2:4" x14ac:dyDescent="0.3">
      <c r="B185" s="11">
        <f t="shared" si="3"/>
        <v>183</v>
      </c>
      <c r="C185" s="11">
        <v>78159.968968438465</v>
      </c>
      <c r="D185" s="180">
        <v>75775.604729966668</v>
      </c>
    </row>
    <row r="186" spans="2:4" x14ac:dyDescent="0.3">
      <c r="B186" s="11">
        <f t="shared" si="3"/>
        <v>184</v>
      </c>
      <c r="C186" s="11">
        <v>78785.302579739262</v>
      </c>
      <c r="D186" s="180">
        <v>78785.302579739262</v>
      </c>
    </row>
    <row r="187" spans="2:4" x14ac:dyDescent="0.3">
      <c r="B187" s="11">
        <f t="shared" si="3"/>
        <v>185</v>
      </c>
      <c r="C187" s="11">
        <v>115596.65420384175</v>
      </c>
      <c r="D187" s="180">
        <v>117587.60736276495</v>
      </c>
    </row>
    <row r="188" spans="2:4" x14ac:dyDescent="0.3">
      <c r="B188" s="11">
        <f t="shared" si="3"/>
        <v>186</v>
      </c>
      <c r="C188" s="11">
        <v>95814.167846834011</v>
      </c>
      <c r="D188" s="180">
        <v>95814.167846834011</v>
      </c>
    </row>
    <row r="189" spans="2:4" x14ac:dyDescent="0.3">
      <c r="B189" s="11">
        <f t="shared" si="3"/>
        <v>187</v>
      </c>
      <c r="C189" s="11">
        <v>105436.58374285873</v>
      </c>
      <c r="D189" s="180">
        <v>105436.58374285873</v>
      </c>
    </row>
    <row r="190" spans="2:4" x14ac:dyDescent="0.3">
      <c r="B190" s="11">
        <f t="shared" si="3"/>
        <v>188</v>
      </c>
      <c r="C190" s="11">
        <v>86917.000685318984</v>
      </c>
      <c r="D190" s="180">
        <v>86917.000685318984</v>
      </c>
    </row>
    <row r="191" spans="2:4" x14ac:dyDescent="0.3">
      <c r="B191" s="11">
        <f t="shared" si="3"/>
        <v>189</v>
      </c>
      <c r="C191" s="11">
        <v>74876.437620948273</v>
      </c>
      <c r="D191" s="180">
        <v>74876.437620948273</v>
      </c>
    </row>
    <row r="192" spans="2:4" x14ac:dyDescent="0.3">
      <c r="B192" s="11">
        <f t="shared" si="3"/>
        <v>190</v>
      </c>
      <c r="C192" s="11">
        <v>94099.865941885262</v>
      </c>
      <c r="D192" s="180">
        <v>94099.865941885262</v>
      </c>
    </row>
    <row r="193" spans="2:4" x14ac:dyDescent="0.3">
      <c r="B193" s="11">
        <f t="shared" si="3"/>
        <v>191</v>
      </c>
      <c r="C193" s="11">
        <v>95551.385281872135</v>
      </c>
      <c r="D193" s="180">
        <v>95551.385281872135</v>
      </c>
    </row>
    <row r="194" spans="2:4" x14ac:dyDescent="0.3">
      <c r="B194" s="11">
        <f t="shared" si="3"/>
        <v>192</v>
      </c>
      <c r="C194" s="11">
        <v>88692.448750224241</v>
      </c>
      <c r="D194" s="180">
        <v>86513.031802697398</v>
      </c>
    </row>
    <row r="195" spans="2:4" x14ac:dyDescent="0.3">
      <c r="B195" s="11">
        <f t="shared" si="3"/>
        <v>193</v>
      </c>
      <c r="C195" s="11">
        <v>77397.585460823277</v>
      </c>
      <c r="D195" s="180">
        <v>77397.585460823277</v>
      </c>
    </row>
    <row r="196" spans="2:4" x14ac:dyDescent="0.3">
      <c r="B196" s="11">
        <f t="shared" si="3"/>
        <v>194</v>
      </c>
      <c r="C196" s="11">
        <v>81174.019068526643</v>
      </c>
      <c r="D196" s="180">
        <v>81174.019068526643</v>
      </c>
    </row>
    <row r="197" spans="2:4" x14ac:dyDescent="0.3">
      <c r="B197" s="11">
        <f t="shared" ref="B197:B260" si="4">B196+1</f>
        <v>195</v>
      </c>
      <c r="C197" s="11">
        <v>92279.798631645157</v>
      </c>
      <c r="D197" s="180">
        <v>92279.798631645157</v>
      </c>
    </row>
    <row r="198" spans="2:4" x14ac:dyDescent="0.3">
      <c r="B198" s="11">
        <f t="shared" si="4"/>
        <v>196</v>
      </c>
      <c r="C198" s="11">
        <v>62071.348132736224</v>
      </c>
      <c r="D198" s="180">
        <v>62071.348132736224</v>
      </c>
    </row>
    <row r="199" spans="2:4" x14ac:dyDescent="0.3">
      <c r="B199" s="11">
        <f t="shared" si="4"/>
        <v>197</v>
      </c>
      <c r="C199" s="11">
        <v>79999.704406172707</v>
      </c>
      <c r="D199" s="180">
        <v>79999.704406172707</v>
      </c>
    </row>
    <row r="200" spans="2:4" x14ac:dyDescent="0.3">
      <c r="B200" s="11">
        <f t="shared" si="4"/>
        <v>198</v>
      </c>
      <c r="C200" s="11">
        <v>104336.23934744093</v>
      </c>
      <c r="D200" s="180">
        <v>104336.23934744093</v>
      </c>
    </row>
    <row r="201" spans="2:4" x14ac:dyDescent="0.3">
      <c r="B201" s="11">
        <f t="shared" si="4"/>
        <v>199</v>
      </c>
      <c r="C201" s="11">
        <v>90465.271676427481</v>
      </c>
      <c r="D201" s="180">
        <v>90465.271676427481</v>
      </c>
    </row>
    <row r="202" spans="2:4" x14ac:dyDescent="0.3">
      <c r="B202" s="11">
        <f t="shared" si="4"/>
        <v>200</v>
      </c>
      <c r="C202" s="11">
        <v>81224.146157391166</v>
      </c>
      <c r="D202" s="180">
        <v>81224.146157391166</v>
      </c>
    </row>
    <row r="203" spans="2:4" x14ac:dyDescent="0.3">
      <c r="B203" s="11">
        <f t="shared" si="4"/>
        <v>201</v>
      </c>
      <c r="C203" s="11">
        <v>79752.24936857642</v>
      </c>
      <c r="D203" s="180">
        <v>79752.24936857642</v>
      </c>
    </row>
    <row r="204" spans="2:4" x14ac:dyDescent="0.3">
      <c r="B204" s="11">
        <f t="shared" si="4"/>
        <v>202</v>
      </c>
      <c r="C204" s="11">
        <v>82923.833991243315</v>
      </c>
      <c r="D204" s="180">
        <v>82923.833991243315</v>
      </c>
    </row>
    <row r="205" spans="2:4" x14ac:dyDescent="0.3">
      <c r="B205" s="11">
        <f t="shared" si="4"/>
        <v>203</v>
      </c>
      <c r="C205" s="11">
        <v>79345.678119026154</v>
      </c>
      <c r="D205" s="180">
        <v>79345.678119026154</v>
      </c>
    </row>
    <row r="206" spans="2:4" x14ac:dyDescent="0.3">
      <c r="B206" s="11">
        <f t="shared" si="4"/>
        <v>204</v>
      </c>
      <c r="C206" s="11">
        <v>105371.01945728139</v>
      </c>
      <c r="D206" s="180">
        <v>105371.01945728139</v>
      </c>
    </row>
    <row r="207" spans="2:4" x14ac:dyDescent="0.3">
      <c r="B207" s="11">
        <f t="shared" si="4"/>
        <v>205</v>
      </c>
      <c r="C207" s="11">
        <v>78578.203629564494</v>
      </c>
      <c r="D207" s="180">
        <v>78578.203629564494</v>
      </c>
    </row>
    <row r="208" spans="2:4" x14ac:dyDescent="0.3">
      <c r="B208" s="11">
        <f t="shared" si="4"/>
        <v>206</v>
      </c>
      <c r="C208" s="11">
        <v>72294.162909523104</v>
      </c>
      <c r="D208" s="180">
        <v>70576.752156841481</v>
      </c>
    </row>
    <row r="209" spans="2:4" x14ac:dyDescent="0.3">
      <c r="B209" s="11">
        <f t="shared" si="4"/>
        <v>207</v>
      </c>
      <c r="C209" s="11">
        <v>69226.144278380147</v>
      </c>
      <c r="D209" s="180">
        <v>69226.144278380147</v>
      </c>
    </row>
    <row r="210" spans="2:4" x14ac:dyDescent="0.3">
      <c r="B210" s="11">
        <f t="shared" si="4"/>
        <v>208</v>
      </c>
      <c r="C210" s="11">
        <v>75883.396391840579</v>
      </c>
      <c r="D210" s="180">
        <v>75883.396391840579</v>
      </c>
    </row>
    <row r="211" spans="2:4" x14ac:dyDescent="0.3">
      <c r="B211" s="11">
        <f t="shared" si="4"/>
        <v>209</v>
      </c>
      <c r="C211" s="11">
        <v>104990.06660282696</v>
      </c>
      <c r="D211" s="180">
        <v>104990.06660282696</v>
      </c>
    </row>
    <row r="212" spans="2:4" x14ac:dyDescent="0.3">
      <c r="B212" s="11">
        <f t="shared" si="4"/>
        <v>210</v>
      </c>
      <c r="C212" s="11">
        <v>84677.419222660596</v>
      </c>
      <c r="D212" s="180">
        <v>84677.419222660596</v>
      </c>
    </row>
    <row r="213" spans="2:4" x14ac:dyDescent="0.3">
      <c r="B213" s="11">
        <f t="shared" si="4"/>
        <v>211</v>
      </c>
      <c r="C213" s="11">
        <v>93269.519124595347</v>
      </c>
      <c r="D213" s="180">
        <v>93269.519124595347</v>
      </c>
    </row>
    <row r="214" spans="2:4" x14ac:dyDescent="0.3">
      <c r="B214" s="11">
        <f t="shared" si="4"/>
        <v>212</v>
      </c>
      <c r="C214" s="11">
        <v>101157.87541732025</v>
      </c>
      <c r="D214" s="180">
        <v>101157.87541732025</v>
      </c>
    </row>
    <row r="215" spans="2:4" x14ac:dyDescent="0.3">
      <c r="B215" s="11">
        <f t="shared" si="4"/>
        <v>213</v>
      </c>
      <c r="C215" s="11">
        <v>96195.460340850885</v>
      </c>
      <c r="D215" s="180">
        <v>96195.460340850885</v>
      </c>
    </row>
    <row r="216" spans="2:4" x14ac:dyDescent="0.3">
      <c r="B216" s="11">
        <f t="shared" si="4"/>
        <v>214</v>
      </c>
      <c r="C216" s="11">
        <v>99741.81146198987</v>
      </c>
      <c r="D216" s="180">
        <v>99741.81146198987</v>
      </c>
    </row>
    <row r="217" spans="2:4" x14ac:dyDescent="0.3">
      <c r="B217" s="11">
        <f t="shared" si="4"/>
        <v>215</v>
      </c>
      <c r="C217" s="11">
        <v>92885.081629394233</v>
      </c>
      <c r="D217" s="180">
        <v>92885.081629394233</v>
      </c>
    </row>
    <row r="218" spans="2:4" x14ac:dyDescent="0.3">
      <c r="B218" s="11">
        <f t="shared" si="4"/>
        <v>216</v>
      </c>
      <c r="C218" s="11">
        <v>77164.326649768758</v>
      </c>
      <c r="D218" s="180">
        <v>77164.326649768758</v>
      </c>
    </row>
    <row r="219" spans="2:4" x14ac:dyDescent="0.3">
      <c r="B219" s="11">
        <f t="shared" si="4"/>
        <v>217</v>
      </c>
      <c r="C219" s="11">
        <v>66303.158987619303</v>
      </c>
      <c r="D219" s="180">
        <v>66303.158987619303</v>
      </c>
    </row>
    <row r="220" spans="2:4" x14ac:dyDescent="0.3">
      <c r="B220" s="11">
        <f t="shared" si="4"/>
        <v>218</v>
      </c>
      <c r="C220" s="11">
        <v>106425.53836299331</v>
      </c>
      <c r="D220" s="180">
        <v>106425.53836299331</v>
      </c>
    </row>
    <row r="221" spans="2:4" x14ac:dyDescent="0.3">
      <c r="B221" s="11">
        <f t="shared" si="4"/>
        <v>219</v>
      </c>
      <c r="C221" s="11">
        <v>82756.792257430716</v>
      </c>
      <c r="D221" s="180">
        <v>81612.250284858601</v>
      </c>
    </row>
    <row r="222" spans="2:4" x14ac:dyDescent="0.3">
      <c r="B222" s="11">
        <f t="shared" si="4"/>
        <v>220</v>
      </c>
      <c r="C222" s="11">
        <v>88489.672927204461</v>
      </c>
      <c r="D222" s="180">
        <v>88489.672927204461</v>
      </c>
    </row>
    <row r="223" spans="2:4" x14ac:dyDescent="0.3">
      <c r="B223" s="11">
        <f t="shared" si="4"/>
        <v>221</v>
      </c>
      <c r="C223" s="11">
        <v>77736.860409697372</v>
      </c>
      <c r="D223" s="180">
        <v>77736.860409697372</v>
      </c>
    </row>
    <row r="224" spans="2:4" x14ac:dyDescent="0.3">
      <c r="B224" s="11">
        <f t="shared" si="4"/>
        <v>222</v>
      </c>
      <c r="C224" s="11">
        <v>114286.21922361395</v>
      </c>
      <c r="D224" s="180">
        <v>114286.21922361395</v>
      </c>
    </row>
    <row r="225" spans="2:4" x14ac:dyDescent="0.3">
      <c r="B225" s="11">
        <f t="shared" si="4"/>
        <v>223</v>
      </c>
      <c r="C225" s="11">
        <v>111987.84018654407</v>
      </c>
      <c r="D225" s="180">
        <v>111987.84018654407</v>
      </c>
    </row>
    <row r="226" spans="2:4" x14ac:dyDescent="0.3">
      <c r="B226" s="11">
        <f t="shared" si="4"/>
        <v>224</v>
      </c>
      <c r="C226" s="11">
        <v>90138.81768248952</v>
      </c>
      <c r="D226" s="180">
        <v>90138.81768248952</v>
      </c>
    </row>
    <row r="227" spans="2:4" x14ac:dyDescent="0.3">
      <c r="B227" s="11">
        <f t="shared" si="4"/>
        <v>225</v>
      </c>
      <c r="C227" s="11">
        <v>86819.100473290702</v>
      </c>
      <c r="D227" s="180">
        <v>86819.100473290702</v>
      </c>
    </row>
    <row r="228" spans="2:4" x14ac:dyDescent="0.3">
      <c r="B228" s="11">
        <f t="shared" si="4"/>
        <v>226</v>
      </c>
      <c r="C228" s="11">
        <v>101025.78391504088</v>
      </c>
      <c r="D228" s="180">
        <v>101025.78391504088</v>
      </c>
    </row>
    <row r="229" spans="2:4" x14ac:dyDescent="0.3">
      <c r="B229" s="11">
        <f t="shared" si="4"/>
        <v>227</v>
      </c>
      <c r="C229" s="11">
        <v>130084.23404735465</v>
      </c>
      <c r="D229" s="180">
        <v>130084.23404735465</v>
      </c>
    </row>
    <row r="230" spans="2:4" x14ac:dyDescent="0.3">
      <c r="B230" s="11">
        <f t="shared" si="4"/>
        <v>228</v>
      </c>
      <c r="C230" s="11">
        <v>90491.036925002176</v>
      </c>
      <c r="D230" s="180">
        <v>87719.435082269803</v>
      </c>
    </row>
    <row r="231" spans="2:4" x14ac:dyDescent="0.3">
      <c r="B231" s="11">
        <f t="shared" si="4"/>
        <v>229</v>
      </c>
      <c r="C231" s="11">
        <v>73220.542151884321</v>
      </c>
      <c r="D231" s="180">
        <v>73220.542151884321</v>
      </c>
    </row>
    <row r="232" spans="2:4" x14ac:dyDescent="0.3">
      <c r="B232" s="11">
        <f t="shared" si="4"/>
        <v>230</v>
      </c>
      <c r="C232" s="11">
        <v>134676.0051851586</v>
      </c>
      <c r="D232" s="180">
        <v>138040.06677855403</v>
      </c>
    </row>
    <row r="233" spans="2:4" x14ac:dyDescent="0.3">
      <c r="B233" s="11">
        <f t="shared" si="4"/>
        <v>231</v>
      </c>
      <c r="C233" s="11">
        <v>82272.201041682536</v>
      </c>
      <c r="D233" s="180">
        <v>82272.201041682536</v>
      </c>
    </row>
    <row r="234" spans="2:4" x14ac:dyDescent="0.3">
      <c r="B234" s="11">
        <f t="shared" si="4"/>
        <v>232</v>
      </c>
      <c r="C234" s="11">
        <v>58988.093718855678</v>
      </c>
      <c r="D234" s="180">
        <v>58988.093718855678</v>
      </c>
    </row>
    <row r="235" spans="2:4" x14ac:dyDescent="0.3">
      <c r="B235" s="11">
        <f t="shared" si="4"/>
        <v>233</v>
      </c>
      <c r="C235" s="11">
        <v>100030.02766302769</v>
      </c>
      <c r="D235" s="180">
        <v>100030.02766302769</v>
      </c>
    </row>
    <row r="236" spans="2:4" x14ac:dyDescent="0.3">
      <c r="B236" s="11">
        <f t="shared" si="4"/>
        <v>234</v>
      </c>
      <c r="C236" s="11">
        <v>100486.13855760277</v>
      </c>
      <c r="D236" s="180">
        <v>100486.13855760277</v>
      </c>
    </row>
    <row r="237" spans="2:4" x14ac:dyDescent="0.3">
      <c r="B237" s="11">
        <f t="shared" si="4"/>
        <v>235</v>
      </c>
      <c r="C237" s="11">
        <v>85983.124121277549</v>
      </c>
      <c r="D237" s="180">
        <v>85983.124121277549</v>
      </c>
    </row>
    <row r="238" spans="2:4" x14ac:dyDescent="0.3">
      <c r="B238" s="11">
        <f t="shared" si="4"/>
        <v>236</v>
      </c>
      <c r="C238" s="11">
        <v>80637.970675908669</v>
      </c>
      <c r="D238" s="180">
        <v>80637.970675908669</v>
      </c>
    </row>
    <row r="239" spans="2:4" x14ac:dyDescent="0.3">
      <c r="B239" s="11">
        <f t="shared" si="4"/>
        <v>237</v>
      </c>
      <c r="C239" s="11">
        <v>129035.83084473676</v>
      </c>
      <c r="D239" s="180">
        <v>129035.83084473676</v>
      </c>
    </row>
    <row r="240" spans="2:4" x14ac:dyDescent="0.3">
      <c r="B240" s="11">
        <f t="shared" si="4"/>
        <v>238</v>
      </c>
      <c r="C240" s="11">
        <v>95600.373486793353</v>
      </c>
      <c r="D240" s="180">
        <v>95600.373486793353</v>
      </c>
    </row>
    <row r="241" spans="2:4" x14ac:dyDescent="0.3">
      <c r="B241" s="11">
        <f t="shared" si="4"/>
        <v>239</v>
      </c>
      <c r="C241" s="11">
        <v>94925.654401752487</v>
      </c>
      <c r="D241" s="180">
        <v>94925.654401752487</v>
      </c>
    </row>
    <row r="242" spans="2:4" x14ac:dyDescent="0.3">
      <c r="B242" s="11">
        <f t="shared" si="4"/>
        <v>240</v>
      </c>
      <c r="C242" s="11">
        <v>76226.420128388214</v>
      </c>
      <c r="D242" s="180">
        <v>76226.420128388214</v>
      </c>
    </row>
    <row r="243" spans="2:4" x14ac:dyDescent="0.3">
      <c r="B243" s="11">
        <f t="shared" si="4"/>
        <v>241</v>
      </c>
      <c r="C243" s="11">
        <v>68962.50057418106</v>
      </c>
      <c r="D243" s="180">
        <v>68962.50057418106</v>
      </c>
    </row>
    <row r="244" spans="2:4" x14ac:dyDescent="0.3">
      <c r="B244" s="11">
        <f t="shared" si="4"/>
        <v>242</v>
      </c>
      <c r="C244" s="11">
        <v>105912.03591782098</v>
      </c>
      <c r="D244" s="180">
        <v>105912.03591782098</v>
      </c>
    </row>
    <row r="245" spans="2:4" x14ac:dyDescent="0.3">
      <c r="B245" s="11">
        <f t="shared" si="4"/>
        <v>243</v>
      </c>
      <c r="C245" s="11">
        <v>75582.381205071142</v>
      </c>
      <c r="D245" s="180">
        <v>75582.381205071142</v>
      </c>
    </row>
    <row r="246" spans="2:4" x14ac:dyDescent="0.3">
      <c r="B246" s="11">
        <f t="shared" si="4"/>
        <v>244</v>
      </c>
      <c r="C246" s="11">
        <v>88243.187413817548</v>
      </c>
      <c r="D246" s="180">
        <v>88243.187413817548</v>
      </c>
    </row>
    <row r="247" spans="2:4" x14ac:dyDescent="0.3">
      <c r="B247" s="11">
        <f t="shared" si="4"/>
        <v>245</v>
      </c>
      <c r="C247" s="11">
        <v>119826.46490748013</v>
      </c>
      <c r="D247" s="180">
        <v>119826.46490748013</v>
      </c>
    </row>
    <row r="248" spans="2:4" x14ac:dyDescent="0.3">
      <c r="B248" s="11">
        <f t="shared" si="4"/>
        <v>246</v>
      </c>
      <c r="C248" s="11">
        <v>122933.19876531955</v>
      </c>
      <c r="D248" s="180">
        <v>122933.19876531955</v>
      </c>
    </row>
    <row r="249" spans="2:4" x14ac:dyDescent="0.3">
      <c r="B249" s="11">
        <f t="shared" si="4"/>
        <v>247</v>
      </c>
      <c r="C249" s="11">
        <v>92250.962598333819</v>
      </c>
      <c r="D249" s="180">
        <v>89702.420212319223</v>
      </c>
    </row>
    <row r="250" spans="2:4" x14ac:dyDescent="0.3">
      <c r="B250" s="11">
        <f t="shared" si="4"/>
        <v>248</v>
      </c>
      <c r="C250" s="11">
        <v>91514.800728128932</v>
      </c>
      <c r="D250" s="180">
        <v>91514.800728128932</v>
      </c>
    </row>
    <row r="251" spans="2:4" x14ac:dyDescent="0.3">
      <c r="B251" s="11">
        <f t="shared" si="4"/>
        <v>249</v>
      </c>
      <c r="C251" s="11">
        <v>94546.464528387471</v>
      </c>
      <c r="D251" s="180">
        <v>94546.464528387471</v>
      </c>
    </row>
    <row r="252" spans="2:4" x14ac:dyDescent="0.3">
      <c r="B252" s="11">
        <f t="shared" si="4"/>
        <v>250</v>
      </c>
      <c r="C252" s="11">
        <v>113336.42403526095</v>
      </c>
      <c r="D252" s="180">
        <v>113336.42403526095</v>
      </c>
    </row>
    <row r="253" spans="2:4" x14ac:dyDescent="0.3">
      <c r="B253" s="11">
        <f t="shared" si="4"/>
        <v>251</v>
      </c>
      <c r="C253" s="11">
        <v>82547.873664893079</v>
      </c>
      <c r="D253" s="180">
        <v>82547.873664893079</v>
      </c>
    </row>
    <row r="254" spans="2:4" x14ac:dyDescent="0.3">
      <c r="B254" s="11">
        <f t="shared" si="4"/>
        <v>252</v>
      </c>
      <c r="C254" s="11">
        <v>64768.679984587492</v>
      </c>
      <c r="D254" s="180">
        <v>64768.679984587492</v>
      </c>
    </row>
    <row r="255" spans="2:4" x14ac:dyDescent="0.3">
      <c r="B255" s="11">
        <f t="shared" si="4"/>
        <v>253</v>
      </c>
      <c r="C255" s="11">
        <v>92411.474145805318</v>
      </c>
      <c r="D255" s="180">
        <v>92411.474145805318</v>
      </c>
    </row>
    <row r="256" spans="2:4" x14ac:dyDescent="0.3">
      <c r="B256" s="11">
        <f t="shared" si="4"/>
        <v>254</v>
      </c>
      <c r="C256" s="11">
        <v>95006.254890997428</v>
      </c>
      <c r="D256" s="180">
        <v>95006.254890997428</v>
      </c>
    </row>
    <row r="257" spans="2:4" x14ac:dyDescent="0.3">
      <c r="B257" s="11">
        <f t="shared" si="4"/>
        <v>255</v>
      </c>
      <c r="C257" s="11">
        <v>85391.199082910884</v>
      </c>
      <c r="D257" s="180">
        <v>85391.199082910884</v>
      </c>
    </row>
    <row r="258" spans="2:4" x14ac:dyDescent="0.3">
      <c r="B258" s="11">
        <f t="shared" si="4"/>
        <v>256</v>
      </c>
      <c r="C258" s="11">
        <v>92357.962933361443</v>
      </c>
      <c r="D258" s="180">
        <v>92357.962933361443</v>
      </c>
    </row>
    <row r="259" spans="2:4" x14ac:dyDescent="0.3">
      <c r="B259" s="11">
        <f t="shared" si="4"/>
        <v>257</v>
      </c>
      <c r="C259" s="11">
        <v>111888.24875206828</v>
      </c>
      <c r="D259" s="180">
        <v>111888.24875206828</v>
      </c>
    </row>
    <row r="260" spans="2:4" x14ac:dyDescent="0.3">
      <c r="B260" s="11">
        <f t="shared" si="4"/>
        <v>258</v>
      </c>
      <c r="C260" s="11">
        <v>115596.53033581561</v>
      </c>
      <c r="D260" s="180">
        <v>117703.12755848985</v>
      </c>
    </row>
    <row r="261" spans="2:4" x14ac:dyDescent="0.3">
      <c r="B261" s="11">
        <f t="shared" ref="B261:B324" si="5">B260+1</f>
        <v>259</v>
      </c>
      <c r="C261" s="11">
        <v>97619.264105490802</v>
      </c>
      <c r="D261" s="180">
        <v>97619.264105490802</v>
      </c>
    </row>
    <row r="262" spans="2:4" x14ac:dyDescent="0.3">
      <c r="B262" s="11">
        <f t="shared" si="5"/>
        <v>260</v>
      </c>
      <c r="C262" s="11">
        <v>70374.869710036161</v>
      </c>
      <c r="D262" s="180">
        <v>70374.869710036161</v>
      </c>
    </row>
    <row r="263" spans="2:4" x14ac:dyDescent="0.3">
      <c r="B263" s="11">
        <f t="shared" si="5"/>
        <v>261</v>
      </c>
      <c r="C263" s="11">
        <v>103309.06337110311</v>
      </c>
      <c r="D263" s="180">
        <v>103309.06337110311</v>
      </c>
    </row>
    <row r="264" spans="2:4" x14ac:dyDescent="0.3">
      <c r="B264" s="11">
        <f t="shared" si="5"/>
        <v>262</v>
      </c>
      <c r="C264" s="11">
        <v>74623.472537785055</v>
      </c>
      <c r="D264" s="180">
        <v>74623.472537785055</v>
      </c>
    </row>
    <row r="265" spans="2:4" x14ac:dyDescent="0.3">
      <c r="B265" s="11">
        <f t="shared" si="5"/>
        <v>263</v>
      </c>
      <c r="C265" s="11">
        <v>82097.221032249756</v>
      </c>
      <c r="D265" s="180">
        <v>82097.221032249756</v>
      </c>
    </row>
    <row r="266" spans="2:4" x14ac:dyDescent="0.3">
      <c r="B266" s="11">
        <f t="shared" si="5"/>
        <v>264</v>
      </c>
      <c r="C266" s="11">
        <v>141297.30901794674</v>
      </c>
      <c r="D266" s="180">
        <v>143194.3320919672</v>
      </c>
    </row>
    <row r="267" spans="2:4" x14ac:dyDescent="0.3">
      <c r="B267" s="11">
        <f t="shared" si="5"/>
        <v>265</v>
      </c>
      <c r="C267" s="11">
        <v>101887.52540577641</v>
      </c>
      <c r="D267" s="180">
        <v>101887.52540577641</v>
      </c>
    </row>
    <row r="268" spans="2:4" x14ac:dyDescent="0.3">
      <c r="B268" s="11">
        <f t="shared" si="5"/>
        <v>266</v>
      </c>
      <c r="C268" s="11">
        <v>89849.85099039365</v>
      </c>
      <c r="D268" s="180">
        <v>89849.85099039365</v>
      </c>
    </row>
    <row r="269" spans="2:4" x14ac:dyDescent="0.3">
      <c r="B269" s="11">
        <f t="shared" si="5"/>
        <v>267</v>
      </c>
      <c r="C269" s="11">
        <v>81343.239444706036</v>
      </c>
      <c r="D269" s="180">
        <v>81343.239444706036</v>
      </c>
    </row>
    <row r="270" spans="2:4" x14ac:dyDescent="0.3">
      <c r="B270" s="11">
        <f t="shared" si="5"/>
        <v>268</v>
      </c>
      <c r="C270" s="11">
        <v>97800.943664848761</v>
      </c>
      <c r="D270" s="180">
        <v>97800.943664848761</v>
      </c>
    </row>
    <row r="271" spans="2:4" x14ac:dyDescent="0.3">
      <c r="B271" s="11">
        <f t="shared" si="5"/>
        <v>269</v>
      </c>
      <c r="C271" s="11">
        <v>79488.380033062364</v>
      </c>
      <c r="D271" s="180">
        <v>79488.380033062364</v>
      </c>
    </row>
    <row r="272" spans="2:4" x14ac:dyDescent="0.3">
      <c r="B272" s="11">
        <f t="shared" si="5"/>
        <v>270</v>
      </c>
      <c r="C272" s="11">
        <v>95126.974381407985</v>
      </c>
      <c r="D272" s="180">
        <v>95126.974381407985</v>
      </c>
    </row>
    <row r="273" spans="2:4" x14ac:dyDescent="0.3">
      <c r="B273" s="11">
        <f t="shared" si="5"/>
        <v>271</v>
      </c>
      <c r="C273" s="11">
        <v>86265.489157636111</v>
      </c>
      <c r="D273" s="180">
        <v>86265.489157636111</v>
      </c>
    </row>
    <row r="274" spans="2:4" x14ac:dyDescent="0.3">
      <c r="B274" s="11">
        <f t="shared" si="5"/>
        <v>272</v>
      </c>
      <c r="C274" s="11">
        <v>107985.25237036742</v>
      </c>
      <c r="D274" s="180">
        <v>110164.64083743189</v>
      </c>
    </row>
    <row r="275" spans="2:4" x14ac:dyDescent="0.3">
      <c r="B275" s="11">
        <f t="shared" si="5"/>
        <v>273</v>
      </c>
      <c r="C275" s="11">
        <v>95391.14316779215</v>
      </c>
      <c r="D275" s="180">
        <v>95391.14316779215</v>
      </c>
    </row>
    <row r="276" spans="2:4" x14ac:dyDescent="0.3">
      <c r="B276" s="11">
        <f t="shared" si="5"/>
        <v>274</v>
      </c>
      <c r="C276" s="11">
        <v>87927.372803283215</v>
      </c>
      <c r="D276" s="180">
        <v>87927.372803283215</v>
      </c>
    </row>
    <row r="277" spans="2:4" x14ac:dyDescent="0.3">
      <c r="B277" s="11">
        <f t="shared" si="5"/>
        <v>275</v>
      </c>
      <c r="C277" s="11">
        <v>99005.590545061757</v>
      </c>
      <c r="D277" s="180">
        <v>99005.590545061757</v>
      </c>
    </row>
    <row r="278" spans="2:4" x14ac:dyDescent="0.3">
      <c r="B278" s="11">
        <f t="shared" si="5"/>
        <v>276</v>
      </c>
      <c r="C278" s="11">
        <v>90783.307743344441</v>
      </c>
      <c r="D278" s="180">
        <v>90783.307743344441</v>
      </c>
    </row>
    <row r="279" spans="2:4" x14ac:dyDescent="0.3">
      <c r="B279" s="11">
        <f t="shared" si="5"/>
        <v>277</v>
      </c>
      <c r="C279" s="11">
        <v>93777.453602073394</v>
      </c>
      <c r="D279" s="180">
        <v>93777.453602073394</v>
      </c>
    </row>
    <row r="280" spans="2:4" x14ac:dyDescent="0.3">
      <c r="B280" s="11">
        <f t="shared" si="5"/>
        <v>278</v>
      </c>
      <c r="C280" s="11">
        <v>105019.61328999986</v>
      </c>
      <c r="D280" s="180">
        <v>105019.61328999986</v>
      </c>
    </row>
    <row r="281" spans="2:4" x14ac:dyDescent="0.3">
      <c r="B281" s="11">
        <f t="shared" si="5"/>
        <v>279</v>
      </c>
      <c r="C281" s="11">
        <v>115302.36430729777</v>
      </c>
      <c r="D281" s="180">
        <v>115302.36430729777</v>
      </c>
    </row>
    <row r="282" spans="2:4" x14ac:dyDescent="0.3">
      <c r="B282" s="11">
        <f t="shared" si="5"/>
        <v>280</v>
      </c>
      <c r="C282" s="11">
        <v>91490.246631783462</v>
      </c>
      <c r="D282" s="180">
        <v>91490.246631783462</v>
      </c>
    </row>
    <row r="283" spans="2:4" x14ac:dyDescent="0.3">
      <c r="B283" s="11">
        <f t="shared" si="5"/>
        <v>281</v>
      </c>
      <c r="C283" s="11">
        <v>57565.701953276453</v>
      </c>
      <c r="D283" s="180">
        <v>57565.701953276453</v>
      </c>
    </row>
    <row r="284" spans="2:4" x14ac:dyDescent="0.3">
      <c r="B284" s="11">
        <f t="shared" si="5"/>
        <v>282</v>
      </c>
      <c r="C284" s="11">
        <v>89929.292207668725</v>
      </c>
      <c r="D284" s="180">
        <v>88201.222042591937</v>
      </c>
    </row>
    <row r="285" spans="2:4" x14ac:dyDescent="0.3">
      <c r="B285" s="11">
        <f t="shared" si="5"/>
        <v>283</v>
      </c>
      <c r="C285" s="11">
        <v>88133.113438866538</v>
      </c>
      <c r="D285" s="180">
        <v>88133.113438866538</v>
      </c>
    </row>
    <row r="286" spans="2:4" x14ac:dyDescent="0.3">
      <c r="B286" s="11">
        <f t="shared" si="5"/>
        <v>284</v>
      </c>
      <c r="C286" s="11">
        <v>95535.707062951915</v>
      </c>
      <c r="D286" s="180">
        <v>95535.707062951915</v>
      </c>
    </row>
    <row r="287" spans="2:4" x14ac:dyDescent="0.3">
      <c r="B287" s="11">
        <f t="shared" si="5"/>
        <v>285</v>
      </c>
      <c r="C287" s="11">
        <v>124851.56646012756</v>
      </c>
      <c r="D287" s="180">
        <v>124851.56646012756</v>
      </c>
    </row>
    <row r="288" spans="2:4" x14ac:dyDescent="0.3">
      <c r="B288" s="11">
        <f t="shared" si="5"/>
        <v>286</v>
      </c>
      <c r="C288" s="11">
        <v>97191.444780141523</v>
      </c>
      <c r="D288" s="180">
        <v>97191.444780141523</v>
      </c>
    </row>
    <row r="289" spans="2:4" x14ac:dyDescent="0.3">
      <c r="B289" s="11">
        <f t="shared" si="5"/>
        <v>287</v>
      </c>
      <c r="C289" s="11">
        <v>120234.69037004911</v>
      </c>
      <c r="D289" s="180">
        <v>120234.69037004911</v>
      </c>
    </row>
    <row r="290" spans="2:4" x14ac:dyDescent="0.3">
      <c r="B290" s="11">
        <f t="shared" si="5"/>
        <v>288</v>
      </c>
      <c r="C290" s="11">
        <v>76532.277623828209</v>
      </c>
      <c r="D290" s="180">
        <v>73790.235754949434</v>
      </c>
    </row>
    <row r="291" spans="2:4" x14ac:dyDescent="0.3">
      <c r="B291" s="11">
        <f t="shared" si="5"/>
        <v>289</v>
      </c>
      <c r="C291" s="11">
        <v>90899.473321365818</v>
      </c>
      <c r="D291" s="180">
        <v>90899.473321365818</v>
      </c>
    </row>
    <row r="292" spans="2:4" x14ac:dyDescent="0.3">
      <c r="B292" s="11">
        <f t="shared" si="5"/>
        <v>290</v>
      </c>
      <c r="C292" s="11">
        <v>97781.309034533755</v>
      </c>
      <c r="D292" s="180">
        <v>97781.309034533755</v>
      </c>
    </row>
    <row r="293" spans="2:4" x14ac:dyDescent="0.3">
      <c r="B293" s="11">
        <f t="shared" si="5"/>
        <v>291</v>
      </c>
      <c r="C293" s="11">
        <v>106625.42795404539</v>
      </c>
      <c r="D293" s="180">
        <v>106625.42795404539</v>
      </c>
    </row>
    <row r="294" spans="2:4" x14ac:dyDescent="0.3">
      <c r="B294" s="11">
        <f t="shared" si="5"/>
        <v>292</v>
      </c>
      <c r="C294" s="11">
        <v>98917.624546538747</v>
      </c>
      <c r="D294" s="180">
        <v>98917.624546538747</v>
      </c>
    </row>
    <row r="295" spans="2:4" x14ac:dyDescent="0.3">
      <c r="B295" s="11">
        <f t="shared" si="5"/>
        <v>293</v>
      </c>
      <c r="C295" s="11">
        <v>104719.37294402812</v>
      </c>
      <c r="D295" s="180">
        <v>108599.43811006837</v>
      </c>
    </row>
    <row r="296" spans="2:4" x14ac:dyDescent="0.3">
      <c r="B296" s="11">
        <f t="shared" si="5"/>
        <v>294</v>
      </c>
      <c r="C296" s="11">
        <v>91245.777481226702</v>
      </c>
      <c r="D296" s="180">
        <v>91245.777481226702</v>
      </c>
    </row>
    <row r="297" spans="2:4" x14ac:dyDescent="0.3">
      <c r="B297" s="11">
        <f t="shared" si="5"/>
        <v>295</v>
      </c>
      <c r="C297" s="11">
        <v>67062.346004832201</v>
      </c>
      <c r="D297" s="180">
        <v>67062.346004832201</v>
      </c>
    </row>
    <row r="298" spans="2:4" x14ac:dyDescent="0.3">
      <c r="B298" s="11">
        <f t="shared" si="5"/>
        <v>296</v>
      </c>
      <c r="C298" s="11">
        <v>123426.10374451865</v>
      </c>
      <c r="D298" s="180">
        <v>125022.72617994361</v>
      </c>
    </row>
    <row r="299" spans="2:4" x14ac:dyDescent="0.3">
      <c r="B299" s="11">
        <f t="shared" si="5"/>
        <v>297</v>
      </c>
      <c r="C299" s="11">
        <v>97158.80497088049</v>
      </c>
      <c r="D299" s="180">
        <v>97158.80497088049</v>
      </c>
    </row>
    <row r="300" spans="2:4" x14ac:dyDescent="0.3">
      <c r="B300" s="11">
        <f t="shared" si="5"/>
        <v>298</v>
      </c>
      <c r="C300" s="11">
        <v>92405.097925100097</v>
      </c>
      <c r="D300" s="180">
        <v>92405.097925100097</v>
      </c>
    </row>
    <row r="301" spans="2:4" x14ac:dyDescent="0.3">
      <c r="B301" s="11">
        <f t="shared" si="5"/>
        <v>299</v>
      </c>
      <c r="C301" s="11">
        <v>103590.57566333891</v>
      </c>
      <c r="D301" s="180">
        <v>103590.57566333891</v>
      </c>
    </row>
    <row r="302" spans="2:4" x14ac:dyDescent="0.3">
      <c r="B302" s="11">
        <f t="shared" si="5"/>
        <v>300</v>
      </c>
      <c r="C302" s="11">
        <v>91270.310039924545</v>
      </c>
      <c r="D302" s="180">
        <v>91270.310039924545</v>
      </c>
    </row>
    <row r="303" spans="2:4" x14ac:dyDescent="0.3">
      <c r="B303" s="11">
        <f t="shared" si="5"/>
        <v>301</v>
      </c>
      <c r="C303" s="11">
        <v>103285.91708471475</v>
      </c>
      <c r="D303" s="180">
        <v>103285.91708471475</v>
      </c>
    </row>
    <row r="304" spans="2:4" x14ac:dyDescent="0.3">
      <c r="B304" s="11">
        <f t="shared" si="5"/>
        <v>302</v>
      </c>
      <c r="C304" s="11">
        <v>107577.66286057331</v>
      </c>
      <c r="D304" s="180">
        <v>107577.66286057331</v>
      </c>
    </row>
    <row r="305" spans="2:4" x14ac:dyDescent="0.3">
      <c r="B305" s="11">
        <f t="shared" si="5"/>
        <v>303</v>
      </c>
      <c r="C305" s="11">
        <v>83673.612256050081</v>
      </c>
      <c r="D305" s="180">
        <v>80453.923280918942</v>
      </c>
    </row>
    <row r="306" spans="2:4" x14ac:dyDescent="0.3">
      <c r="B306" s="11">
        <f t="shared" si="5"/>
        <v>304</v>
      </c>
      <c r="C306" s="11">
        <v>80571.651312457034</v>
      </c>
      <c r="D306" s="180">
        <v>80571.651312457034</v>
      </c>
    </row>
    <row r="307" spans="2:4" x14ac:dyDescent="0.3">
      <c r="B307" s="11">
        <f t="shared" si="5"/>
        <v>305</v>
      </c>
      <c r="C307" s="11">
        <v>101601.61081553115</v>
      </c>
      <c r="D307" s="180">
        <v>101601.61081553115</v>
      </c>
    </row>
    <row r="308" spans="2:4" x14ac:dyDescent="0.3">
      <c r="B308" s="11">
        <f t="shared" si="5"/>
        <v>306</v>
      </c>
      <c r="C308" s="11">
        <v>130751.38472378359</v>
      </c>
      <c r="D308" s="180">
        <v>133136.23415174978</v>
      </c>
    </row>
    <row r="309" spans="2:4" x14ac:dyDescent="0.3">
      <c r="B309" s="11">
        <f t="shared" si="5"/>
        <v>307</v>
      </c>
      <c r="C309" s="11">
        <v>62980.045291160866</v>
      </c>
      <c r="D309" s="180">
        <v>62980.045291160866</v>
      </c>
    </row>
    <row r="310" spans="2:4" x14ac:dyDescent="0.3">
      <c r="B310" s="11">
        <f t="shared" si="5"/>
        <v>308</v>
      </c>
      <c r="C310" s="11">
        <v>100003.34311593298</v>
      </c>
      <c r="D310" s="180">
        <v>100003.34311593298</v>
      </c>
    </row>
    <row r="311" spans="2:4" x14ac:dyDescent="0.3">
      <c r="B311" s="11">
        <f t="shared" si="5"/>
        <v>309</v>
      </c>
      <c r="C311" s="11">
        <v>116402.76963517029</v>
      </c>
      <c r="D311" s="180">
        <v>116402.76963517029</v>
      </c>
    </row>
    <row r="312" spans="2:4" x14ac:dyDescent="0.3">
      <c r="B312" s="11">
        <f t="shared" si="5"/>
        <v>310</v>
      </c>
      <c r="C312" s="11">
        <v>84296.191690495398</v>
      </c>
      <c r="D312" s="180">
        <v>84296.191690495398</v>
      </c>
    </row>
    <row r="313" spans="2:4" x14ac:dyDescent="0.3">
      <c r="B313" s="11">
        <f t="shared" si="5"/>
        <v>311</v>
      </c>
      <c r="C313" s="11">
        <v>93082.026328171341</v>
      </c>
      <c r="D313" s="180">
        <v>93082.026328171341</v>
      </c>
    </row>
    <row r="314" spans="2:4" x14ac:dyDescent="0.3">
      <c r="B314" s="11">
        <f t="shared" si="5"/>
        <v>312</v>
      </c>
      <c r="C314" s="11">
        <v>118490.00479053288</v>
      </c>
      <c r="D314" s="180">
        <v>120838.53975680123</v>
      </c>
    </row>
    <row r="315" spans="2:4" x14ac:dyDescent="0.3">
      <c r="B315" s="11">
        <f t="shared" si="5"/>
        <v>313</v>
      </c>
      <c r="C315" s="11">
        <v>95745.140588009643</v>
      </c>
      <c r="D315" s="180">
        <v>95745.140588009643</v>
      </c>
    </row>
    <row r="316" spans="2:4" x14ac:dyDescent="0.3">
      <c r="B316" s="11">
        <f t="shared" si="5"/>
        <v>314</v>
      </c>
      <c r="C316" s="11">
        <v>91416.602988942774</v>
      </c>
      <c r="D316" s="180">
        <v>91416.602988942774</v>
      </c>
    </row>
    <row r="317" spans="2:4" x14ac:dyDescent="0.3">
      <c r="B317" s="11">
        <f t="shared" si="5"/>
        <v>315</v>
      </c>
      <c r="C317" s="11">
        <v>77440.98113244983</v>
      </c>
      <c r="D317" s="180">
        <v>77440.98113244983</v>
      </c>
    </row>
    <row r="318" spans="2:4" x14ac:dyDescent="0.3">
      <c r="B318" s="11">
        <f t="shared" si="5"/>
        <v>316</v>
      </c>
      <c r="C318" s="11">
        <v>84443.655354334056</v>
      </c>
      <c r="D318" s="180">
        <v>84443.655354334056</v>
      </c>
    </row>
    <row r="319" spans="2:4" x14ac:dyDescent="0.3">
      <c r="B319" s="11">
        <f t="shared" si="5"/>
        <v>317</v>
      </c>
      <c r="C319" s="11">
        <v>108668.78702011911</v>
      </c>
      <c r="D319" s="180">
        <v>108668.78702011911</v>
      </c>
    </row>
    <row r="320" spans="2:4" x14ac:dyDescent="0.3">
      <c r="B320" s="11">
        <f t="shared" si="5"/>
        <v>318</v>
      </c>
      <c r="C320" s="11">
        <v>87500.735091281429</v>
      </c>
      <c r="D320" s="180">
        <v>87500.735091281429</v>
      </c>
    </row>
    <row r="321" spans="2:4" x14ac:dyDescent="0.3">
      <c r="B321" s="11">
        <f t="shared" si="5"/>
        <v>319</v>
      </c>
      <c r="C321" s="11">
        <v>111295.05886626556</v>
      </c>
      <c r="D321" s="180">
        <v>111295.05886626556</v>
      </c>
    </row>
    <row r="322" spans="2:4" x14ac:dyDescent="0.3">
      <c r="B322" s="11">
        <f t="shared" si="5"/>
        <v>320</v>
      </c>
      <c r="C322" s="11">
        <v>103757.42897698827</v>
      </c>
      <c r="D322" s="180">
        <v>103757.42897698827</v>
      </c>
    </row>
    <row r="323" spans="2:4" x14ac:dyDescent="0.3">
      <c r="B323" s="11">
        <f t="shared" si="5"/>
        <v>321</v>
      </c>
      <c r="C323" s="11">
        <v>108503.70756919768</v>
      </c>
      <c r="D323" s="180">
        <v>108503.70756919768</v>
      </c>
    </row>
    <row r="324" spans="2:4" x14ac:dyDescent="0.3">
      <c r="B324" s="11">
        <f t="shared" si="5"/>
        <v>322</v>
      </c>
      <c r="C324" s="11">
        <v>93199.184053382065</v>
      </c>
      <c r="D324" s="180">
        <v>93199.184053382065</v>
      </c>
    </row>
    <row r="325" spans="2:4" x14ac:dyDescent="0.3">
      <c r="B325" s="11">
        <f t="shared" ref="B325:B388" si="6">B324+1</f>
        <v>323</v>
      </c>
      <c r="C325" s="11">
        <v>74179.632768564479</v>
      </c>
      <c r="D325" s="180">
        <v>74179.632768564479</v>
      </c>
    </row>
    <row r="326" spans="2:4" x14ac:dyDescent="0.3">
      <c r="B326" s="11">
        <f t="shared" si="6"/>
        <v>324</v>
      </c>
      <c r="C326" s="11">
        <v>101395.79842365054</v>
      </c>
      <c r="D326" s="180">
        <v>101395.79842365054</v>
      </c>
    </row>
    <row r="327" spans="2:4" x14ac:dyDescent="0.3">
      <c r="B327" s="11">
        <f t="shared" si="6"/>
        <v>325</v>
      </c>
      <c r="C327" s="11">
        <v>130278.95619783626</v>
      </c>
      <c r="D327" s="180">
        <v>130278.95619783626</v>
      </c>
    </row>
    <row r="328" spans="2:4" x14ac:dyDescent="0.3">
      <c r="B328" s="11">
        <f t="shared" si="6"/>
        <v>326</v>
      </c>
      <c r="C328" s="11">
        <v>81130.19502428644</v>
      </c>
      <c r="D328" s="180">
        <v>81130.19502428644</v>
      </c>
    </row>
    <row r="329" spans="2:4" x14ac:dyDescent="0.3">
      <c r="B329" s="11">
        <f t="shared" si="6"/>
        <v>327</v>
      </c>
      <c r="C329" s="11">
        <v>110119.86408279126</v>
      </c>
      <c r="D329" s="180">
        <v>110119.86408279126</v>
      </c>
    </row>
    <row r="330" spans="2:4" x14ac:dyDescent="0.3">
      <c r="B330" s="11">
        <f t="shared" si="6"/>
        <v>328</v>
      </c>
      <c r="C330" s="11">
        <v>78317.71917684174</v>
      </c>
      <c r="D330" s="180">
        <v>78317.71917684174</v>
      </c>
    </row>
    <row r="331" spans="2:4" x14ac:dyDescent="0.3">
      <c r="B331" s="11">
        <f t="shared" si="6"/>
        <v>329</v>
      </c>
      <c r="C331" s="11">
        <v>90435.620266148428</v>
      </c>
      <c r="D331" s="180">
        <v>90435.620266148428</v>
      </c>
    </row>
    <row r="332" spans="2:4" x14ac:dyDescent="0.3">
      <c r="B332" s="11">
        <f t="shared" si="6"/>
        <v>330</v>
      </c>
      <c r="C332" s="11">
        <v>86335.937529839503</v>
      </c>
      <c r="D332" s="180">
        <v>86335.937529839503</v>
      </c>
    </row>
    <row r="333" spans="2:4" x14ac:dyDescent="0.3">
      <c r="B333" s="11">
        <f t="shared" si="6"/>
        <v>331</v>
      </c>
      <c r="C333" s="11">
        <v>112811.18727288551</v>
      </c>
      <c r="D333" s="180">
        <v>114899.61636096677</v>
      </c>
    </row>
    <row r="334" spans="2:4" x14ac:dyDescent="0.3">
      <c r="B334" s="11">
        <f t="shared" si="6"/>
        <v>332</v>
      </c>
      <c r="C334" s="11">
        <v>87140.940510795932</v>
      </c>
      <c r="D334" s="180">
        <v>87140.940510795932</v>
      </c>
    </row>
    <row r="335" spans="2:4" x14ac:dyDescent="0.3">
      <c r="B335" s="11">
        <f t="shared" si="6"/>
        <v>333</v>
      </c>
      <c r="C335" s="11">
        <v>102676.2191608445</v>
      </c>
      <c r="D335" s="180">
        <v>102676.2191608445</v>
      </c>
    </row>
    <row r="336" spans="2:4" x14ac:dyDescent="0.3">
      <c r="B336" s="11">
        <f t="shared" si="6"/>
        <v>334</v>
      </c>
      <c r="C336" s="11">
        <v>91435.791818687037</v>
      </c>
      <c r="D336" s="180">
        <v>89519.588150435753</v>
      </c>
    </row>
    <row r="337" spans="2:4" x14ac:dyDescent="0.3">
      <c r="B337" s="11">
        <f t="shared" si="6"/>
        <v>335</v>
      </c>
      <c r="C337" s="11">
        <v>71399.872989641066</v>
      </c>
      <c r="D337" s="180">
        <v>71399.872989641066</v>
      </c>
    </row>
    <row r="338" spans="2:4" x14ac:dyDescent="0.3">
      <c r="B338" s="11">
        <f t="shared" si="6"/>
        <v>336</v>
      </c>
      <c r="C338" s="11">
        <v>107997.67047983638</v>
      </c>
      <c r="D338" s="180">
        <v>107997.67047983638</v>
      </c>
    </row>
    <row r="339" spans="2:4" x14ac:dyDescent="0.3">
      <c r="B339" s="11">
        <f t="shared" si="6"/>
        <v>337</v>
      </c>
      <c r="C339" s="11">
        <v>91027.360443914804</v>
      </c>
      <c r="D339" s="180">
        <v>91027.360443914804</v>
      </c>
    </row>
    <row r="340" spans="2:4" x14ac:dyDescent="0.3">
      <c r="B340" s="11">
        <f t="shared" si="6"/>
        <v>338</v>
      </c>
      <c r="C340" s="11">
        <v>94418.049803535003</v>
      </c>
      <c r="D340" s="180">
        <v>94418.049803535003</v>
      </c>
    </row>
    <row r="341" spans="2:4" x14ac:dyDescent="0.3">
      <c r="B341" s="11">
        <f t="shared" si="6"/>
        <v>339</v>
      </c>
      <c r="C341" s="11">
        <v>112562.06411778231</v>
      </c>
      <c r="D341" s="180">
        <v>114171.28834451585</v>
      </c>
    </row>
    <row r="342" spans="2:4" x14ac:dyDescent="0.3">
      <c r="B342" s="11">
        <f t="shared" si="6"/>
        <v>340</v>
      </c>
      <c r="C342" s="11">
        <v>91826.322261847425</v>
      </c>
      <c r="D342" s="180">
        <v>91826.322261847425</v>
      </c>
    </row>
    <row r="343" spans="2:4" x14ac:dyDescent="0.3">
      <c r="B343" s="11">
        <f t="shared" si="6"/>
        <v>341</v>
      </c>
      <c r="C343" s="11">
        <v>77309.737350412848</v>
      </c>
      <c r="D343" s="180">
        <v>77309.737350412848</v>
      </c>
    </row>
    <row r="344" spans="2:4" x14ac:dyDescent="0.3">
      <c r="B344" s="11">
        <f t="shared" si="6"/>
        <v>342</v>
      </c>
      <c r="C344" s="11">
        <v>94891.42437430982</v>
      </c>
      <c r="D344" s="180">
        <v>94891.42437430982</v>
      </c>
    </row>
    <row r="345" spans="2:4" x14ac:dyDescent="0.3">
      <c r="B345" s="11">
        <f t="shared" si="6"/>
        <v>343</v>
      </c>
      <c r="C345" s="11">
        <v>75787.993863631025</v>
      </c>
      <c r="D345" s="180">
        <v>75787.993863631025</v>
      </c>
    </row>
    <row r="346" spans="2:4" x14ac:dyDescent="0.3">
      <c r="B346" s="11">
        <f t="shared" si="6"/>
        <v>344</v>
      </c>
      <c r="C346" s="11">
        <v>86622.99571368334</v>
      </c>
      <c r="D346" s="180">
        <v>84887.902788615873</v>
      </c>
    </row>
    <row r="347" spans="2:4" x14ac:dyDescent="0.3">
      <c r="B347" s="11">
        <f t="shared" si="6"/>
        <v>345</v>
      </c>
      <c r="C347" s="11">
        <v>108777.87741905704</v>
      </c>
      <c r="D347" s="180">
        <v>108777.87741905704</v>
      </c>
    </row>
    <row r="348" spans="2:4" x14ac:dyDescent="0.3">
      <c r="B348" s="11">
        <f t="shared" si="6"/>
        <v>346</v>
      </c>
      <c r="C348" s="11">
        <v>99738.450903861143</v>
      </c>
      <c r="D348" s="180">
        <v>99738.450903861143</v>
      </c>
    </row>
    <row r="349" spans="2:4" x14ac:dyDescent="0.3">
      <c r="B349" s="11">
        <f t="shared" si="6"/>
        <v>347</v>
      </c>
      <c r="C349" s="11">
        <v>90749.212791728583</v>
      </c>
      <c r="D349" s="180">
        <v>90749.212791728583</v>
      </c>
    </row>
    <row r="350" spans="2:4" x14ac:dyDescent="0.3">
      <c r="B350" s="11">
        <f t="shared" si="6"/>
        <v>348</v>
      </c>
      <c r="C350" s="11">
        <v>93968.393637809684</v>
      </c>
      <c r="D350" s="180">
        <v>93968.393637809684</v>
      </c>
    </row>
    <row r="351" spans="2:4" x14ac:dyDescent="0.3">
      <c r="B351" s="11">
        <f t="shared" si="6"/>
        <v>349</v>
      </c>
      <c r="C351" s="11">
        <v>90335.151516746191</v>
      </c>
      <c r="D351" s="180">
        <v>90335.151516746191</v>
      </c>
    </row>
    <row r="352" spans="2:4" x14ac:dyDescent="0.3">
      <c r="B352" s="11">
        <f t="shared" si="6"/>
        <v>350</v>
      </c>
      <c r="C352" s="11">
        <v>108516.01630992327</v>
      </c>
      <c r="D352" s="180">
        <v>108516.01630992327</v>
      </c>
    </row>
    <row r="353" spans="2:4" x14ac:dyDescent="0.3">
      <c r="B353" s="11">
        <f t="shared" si="6"/>
        <v>351</v>
      </c>
      <c r="C353" s="11">
        <v>63309.83692670997</v>
      </c>
      <c r="D353" s="180">
        <v>63309.83692670997</v>
      </c>
    </row>
    <row r="354" spans="2:4" x14ac:dyDescent="0.3">
      <c r="B354" s="11">
        <f t="shared" si="6"/>
        <v>352</v>
      </c>
      <c r="C354" s="11">
        <v>103931.36537141538</v>
      </c>
      <c r="D354" s="180">
        <v>103931.36537141538</v>
      </c>
    </row>
    <row r="355" spans="2:4" x14ac:dyDescent="0.3">
      <c r="B355" s="11">
        <f t="shared" si="6"/>
        <v>353</v>
      </c>
      <c r="C355" s="11">
        <v>96652.548283595577</v>
      </c>
      <c r="D355" s="180">
        <v>96652.548283595577</v>
      </c>
    </row>
    <row r="356" spans="2:4" x14ac:dyDescent="0.3">
      <c r="B356" s="11">
        <f t="shared" si="6"/>
        <v>354</v>
      </c>
      <c r="C356" s="11">
        <v>90193.229894056116</v>
      </c>
      <c r="D356" s="180">
        <v>90193.229894056116</v>
      </c>
    </row>
    <row r="357" spans="2:4" x14ac:dyDescent="0.3">
      <c r="B357" s="11">
        <f t="shared" si="6"/>
        <v>355</v>
      </c>
      <c r="C357" s="11">
        <v>103093.13147437216</v>
      </c>
      <c r="D357" s="180">
        <v>103093.13147437216</v>
      </c>
    </row>
    <row r="358" spans="2:4" x14ac:dyDescent="0.3">
      <c r="B358" s="11">
        <f t="shared" si="6"/>
        <v>356</v>
      </c>
      <c r="C358" s="11">
        <v>86300.883992858595</v>
      </c>
      <c r="D358" s="180">
        <v>86300.883992858595</v>
      </c>
    </row>
    <row r="359" spans="2:4" x14ac:dyDescent="0.3">
      <c r="B359" s="11">
        <f t="shared" si="6"/>
        <v>357</v>
      </c>
      <c r="C359" s="11">
        <v>80054.42618013121</v>
      </c>
      <c r="D359" s="180">
        <v>77683.201648725531</v>
      </c>
    </row>
    <row r="360" spans="2:4" x14ac:dyDescent="0.3">
      <c r="B360" s="11">
        <f t="shared" si="6"/>
        <v>358</v>
      </c>
      <c r="C360" s="11">
        <v>92937.530652226749</v>
      </c>
      <c r="D360" s="180">
        <v>92937.530652226749</v>
      </c>
    </row>
    <row r="361" spans="2:4" x14ac:dyDescent="0.3">
      <c r="B361" s="11">
        <f t="shared" si="6"/>
        <v>359</v>
      </c>
      <c r="C361" s="11">
        <v>81939.892739065486</v>
      </c>
      <c r="D361" s="180">
        <v>81939.892739065486</v>
      </c>
    </row>
    <row r="362" spans="2:4" x14ac:dyDescent="0.3">
      <c r="B362" s="11">
        <f t="shared" si="6"/>
        <v>360</v>
      </c>
      <c r="C362" s="11">
        <v>98086.057908897332</v>
      </c>
      <c r="D362" s="180">
        <v>98086.057908897332</v>
      </c>
    </row>
    <row r="363" spans="2:4" x14ac:dyDescent="0.3">
      <c r="B363" s="11">
        <f t="shared" si="6"/>
        <v>361</v>
      </c>
      <c r="C363" s="11">
        <v>75494.263818384701</v>
      </c>
      <c r="D363" s="180">
        <v>75494.263818384701</v>
      </c>
    </row>
    <row r="364" spans="2:4" x14ac:dyDescent="0.3">
      <c r="B364" s="11">
        <f t="shared" si="6"/>
        <v>362</v>
      </c>
      <c r="C364" s="11">
        <v>96121.998926813118</v>
      </c>
      <c r="D364" s="180">
        <v>93332.071315756169</v>
      </c>
    </row>
    <row r="365" spans="2:4" x14ac:dyDescent="0.3">
      <c r="B365" s="11">
        <f t="shared" si="6"/>
        <v>363</v>
      </c>
      <c r="C365" s="11">
        <v>100510.71592937125</v>
      </c>
      <c r="D365" s="180">
        <v>100510.71592937125</v>
      </c>
    </row>
    <row r="366" spans="2:4" x14ac:dyDescent="0.3">
      <c r="B366" s="11">
        <f t="shared" si="6"/>
        <v>364</v>
      </c>
      <c r="C366" s="11">
        <v>77336.38522224575</v>
      </c>
      <c r="D366" s="180">
        <v>77336.38522224575</v>
      </c>
    </row>
    <row r="367" spans="2:4" x14ac:dyDescent="0.3">
      <c r="B367" s="11">
        <f t="shared" si="6"/>
        <v>365</v>
      </c>
      <c r="C367" s="11">
        <v>83982.964579131949</v>
      </c>
      <c r="D367" s="180">
        <v>83982.964579131949</v>
      </c>
    </row>
    <row r="368" spans="2:4" x14ac:dyDescent="0.3">
      <c r="B368" s="11">
        <f t="shared" si="6"/>
        <v>366</v>
      </c>
      <c r="C368" s="11">
        <v>119711.09138278585</v>
      </c>
      <c r="D368" s="180">
        <v>119711.09138278585</v>
      </c>
    </row>
    <row r="369" spans="2:4" x14ac:dyDescent="0.3">
      <c r="B369" s="11">
        <f t="shared" si="6"/>
        <v>367</v>
      </c>
      <c r="C369" s="11">
        <v>84509.27062958786</v>
      </c>
      <c r="D369" s="180">
        <v>84509.27062958786</v>
      </c>
    </row>
    <row r="370" spans="2:4" x14ac:dyDescent="0.3">
      <c r="B370" s="11">
        <f t="shared" si="6"/>
        <v>368</v>
      </c>
      <c r="C370" s="11">
        <v>89435.339271836521</v>
      </c>
      <c r="D370" s="180">
        <v>89435.339271836521</v>
      </c>
    </row>
    <row r="371" spans="2:4" x14ac:dyDescent="0.3">
      <c r="B371" s="11">
        <f t="shared" si="6"/>
        <v>369</v>
      </c>
      <c r="C371" s="11">
        <v>88065.979846783477</v>
      </c>
      <c r="D371" s="180">
        <v>88065.979846783477</v>
      </c>
    </row>
    <row r="372" spans="2:4" x14ac:dyDescent="0.3">
      <c r="B372" s="11">
        <f t="shared" si="6"/>
        <v>370</v>
      </c>
      <c r="C372" s="11">
        <v>103738.49012860197</v>
      </c>
      <c r="D372" s="180">
        <v>103738.49012860197</v>
      </c>
    </row>
    <row r="373" spans="2:4" x14ac:dyDescent="0.3">
      <c r="B373" s="11">
        <f t="shared" si="6"/>
        <v>371</v>
      </c>
      <c r="C373" s="11">
        <v>71886.391831596658</v>
      </c>
      <c r="D373" s="180">
        <v>71886.391831596658</v>
      </c>
    </row>
    <row r="374" spans="2:4" x14ac:dyDescent="0.3">
      <c r="B374" s="11">
        <f t="shared" si="6"/>
        <v>372</v>
      </c>
      <c r="C374" s="11">
        <v>89634.717448647338</v>
      </c>
      <c r="D374" s="180">
        <v>89634.717448647338</v>
      </c>
    </row>
    <row r="375" spans="2:4" x14ac:dyDescent="0.3">
      <c r="B375" s="11">
        <f t="shared" si="6"/>
        <v>373</v>
      </c>
      <c r="C375" s="11">
        <v>96784.255854670017</v>
      </c>
      <c r="D375" s="180">
        <v>96784.255854670017</v>
      </c>
    </row>
    <row r="376" spans="2:4" x14ac:dyDescent="0.3">
      <c r="B376" s="11">
        <f t="shared" si="6"/>
        <v>374</v>
      </c>
      <c r="C376" s="11">
        <v>106005.44479666399</v>
      </c>
      <c r="D376" s="180">
        <v>106005.44479666399</v>
      </c>
    </row>
    <row r="377" spans="2:4" x14ac:dyDescent="0.3">
      <c r="B377" s="11">
        <f t="shared" si="6"/>
        <v>375</v>
      </c>
      <c r="C377" s="11">
        <v>72663.524668538565</v>
      </c>
      <c r="D377" s="180">
        <v>72663.524668538565</v>
      </c>
    </row>
    <row r="378" spans="2:4" x14ac:dyDescent="0.3">
      <c r="B378" s="11">
        <f t="shared" si="6"/>
        <v>376</v>
      </c>
      <c r="C378" s="11">
        <v>88935.209708880066</v>
      </c>
      <c r="D378" s="180">
        <v>88935.209708880066</v>
      </c>
    </row>
    <row r="379" spans="2:4" x14ac:dyDescent="0.3">
      <c r="B379" s="11">
        <f t="shared" si="6"/>
        <v>377</v>
      </c>
      <c r="C379" s="11">
        <v>85568.057015025624</v>
      </c>
      <c r="D379" s="180">
        <v>85568.057015025624</v>
      </c>
    </row>
    <row r="380" spans="2:4" x14ac:dyDescent="0.3">
      <c r="B380" s="11">
        <f t="shared" si="6"/>
        <v>378</v>
      </c>
      <c r="C380" s="11">
        <v>105343.69057247437</v>
      </c>
      <c r="D380" s="180">
        <v>105343.69057247437</v>
      </c>
    </row>
    <row r="381" spans="2:4" x14ac:dyDescent="0.3">
      <c r="B381" s="11">
        <f t="shared" si="6"/>
        <v>379</v>
      </c>
      <c r="C381" s="11">
        <v>76398.44094157267</v>
      </c>
      <c r="D381" s="180">
        <v>76398.44094157267</v>
      </c>
    </row>
    <row r="382" spans="2:4" x14ac:dyDescent="0.3">
      <c r="B382" s="11">
        <f t="shared" si="6"/>
        <v>380</v>
      </c>
      <c r="C382" s="11">
        <v>71605.254964246065</v>
      </c>
      <c r="D382" s="180">
        <v>71605.254964246065</v>
      </c>
    </row>
    <row r="383" spans="2:4" x14ac:dyDescent="0.3">
      <c r="B383" s="11">
        <f t="shared" si="6"/>
        <v>381</v>
      </c>
      <c r="C383" s="11">
        <v>64160.479865839407</v>
      </c>
      <c r="D383" s="180">
        <v>64160.479865839407</v>
      </c>
    </row>
    <row r="384" spans="2:4" x14ac:dyDescent="0.3">
      <c r="B384" s="11">
        <f t="shared" si="6"/>
        <v>382</v>
      </c>
      <c r="C384" s="11">
        <v>87048.125847965741</v>
      </c>
      <c r="D384" s="180">
        <v>87048.125847965741</v>
      </c>
    </row>
    <row r="385" spans="2:4" x14ac:dyDescent="0.3">
      <c r="B385" s="11">
        <f t="shared" si="6"/>
        <v>383</v>
      </c>
      <c r="C385" s="11">
        <v>81119.438515629721</v>
      </c>
      <c r="D385" s="180">
        <v>81119.438515629721</v>
      </c>
    </row>
    <row r="386" spans="2:4" x14ac:dyDescent="0.3">
      <c r="B386" s="11">
        <f t="shared" si="6"/>
        <v>384</v>
      </c>
      <c r="C386" s="11">
        <v>71969.299647264648</v>
      </c>
      <c r="D386" s="180">
        <v>71969.299647264648</v>
      </c>
    </row>
    <row r="387" spans="2:4" x14ac:dyDescent="0.3">
      <c r="B387" s="11">
        <f t="shared" si="6"/>
        <v>385</v>
      </c>
      <c r="C387" s="11">
        <v>96055.964075897355</v>
      </c>
      <c r="D387" s="180">
        <v>96055.964075897355</v>
      </c>
    </row>
    <row r="388" spans="2:4" x14ac:dyDescent="0.3">
      <c r="B388" s="11">
        <f t="shared" si="6"/>
        <v>386</v>
      </c>
      <c r="C388" s="11">
        <v>121917.60277426378</v>
      </c>
      <c r="D388" s="180">
        <v>121917.60277426378</v>
      </c>
    </row>
    <row r="389" spans="2:4" x14ac:dyDescent="0.3">
      <c r="B389" s="11">
        <f t="shared" ref="B389:B452" si="7">B388+1</f>
        <v>387</v>
      </c>
      <c r="C389" s="11">
        <v>95624.091742336066</v>
      </c>
      <c r="D389" s="180">
        <v>95624.091742336066</v>
      </c>
    </row>
    <row r="390" spans="2:4" x14ac:dyDescent="0.3">
      <c r="B390" s="11">
        <f t="shared" si="7"/>
        <v>388</v>
      </c>
      <c r="C390" s="11">
        <v>89009.359148800373</v>
      </c>
      <c r="D390" s="180">
        <v>89009.359148800373</v>
      </c>
    </row>
    <row r="391" spans="2:4" x14ac:dyDescent="0.3">
      <c r="B391" s="11">
        <f t="shared" si="7"/>
        <v>389</v>
      </c>
      <c r="C391" s="11">
        <v>108808.01109083314</v>
      </c>
      <c r="D391" s="180">
        <v>108808.01109083314</v>
      </c>
    </row>
    <row r="392" spans="2:4" x14ac:dyDescent="0.3">
      <c r="B392" s="11">
        <f t="shared" si="7"/>
        <v>390</v>
      </c>
      <c r="C392" s="11">
        <v>77187.444791212416</v>
      </c>
      <c r="D392" s="180">
        <v>77187.444791212416</v>
      </c>
    </row>
    <row r="393" spans="2:4" x14ac:dyDescent="0.3">
      <c r="B393" s="11">
        <f t="shared" si="7"/>
        <v>391</v>
      </c>
      <c r="C393" s="11">
        <v>87831.235071393414</v>
      </c>
      <c r="D393" s="180">
        <v>87831.235071393414</v>
      </c>
    </row>
    <row r="394" spans="2:4" x14ac:dyDescent="0.3">
      <c r="B394" s="11">
        <f t="shared" si="7"/>
        <v>392</v>
      </c>
      <c r="C394" s="11">
        <v>109156.61703708411</v>
      </c>
      <c r="D394" s="180">
        <v>109156.61703708411</v>
      </c>
    </row>
    <row r="395" spans="2:4" x14ac:dyDescent="0.3">
      <c r="B395" s="11">
        <f t="shared" si="7"/>
        <v>393</v>
      </c>
      <c r="C395" s="11">
        <v>95222.886262995366</v>
      </c>
      <c r="D395" s="180">
        <v>95222.886262995366</v>
      </c>
    </row>
    <row r="396" spans="2:4" x14ac:dyDescent="0.3">
      <c r="B396" s="11">
        <f t="shared" si="7"/>
        <v>394</v>
      </c>
      <c r="C396" s="11">
        <v>96109.535438448962</v>
      </c>
      <c r="D396" s="180">
        <v>96109.535438448962</v>
      </c>
    </row>
    <row r="397" spans="2:4" x14ac:dyDescent="0.3">
      <c r="B397" s="11">
        <f t="shared" si="7"/>
        <v>395</v>
      </c>
      <c r="C397" s="11">
        <v>103937.81656799081</v>
      </c>
      <c r="D397" s="180">
        <v>103937.81656799081</v>
      </c>
    </row>
    <row r="398" spans="2:4" x14ac:dyDescent="0.3">
      <c r="B398" s="11">
        <f t="shared" si="7"/>
        <v>396</v>
      </c>
      <c r="C398" s="11">
        <v>78409.656063551753</v>
      </c>
      <c r="D398" s="180">
        <v>78409.656063551753</v>
      </c>
    </row>
    <row r="399" spans="2:4" x14ac:dyDescent="0.3">
      <c r="B399" s="11">
        <f t="shared" si="7"/>
        <v>397</v>
      </c>
      <c r="C399" s="11">
        <v>93124.72064166065</v>
      </c>
      <c r="D399" s="180">
        <v>94182.603423261666</v>
      </c>
    </row>
    <row r="400" spans="2:4" x14ac:dyDescent="0.3">
      <c r="B400" s="11">
        <f t="shared" si="7"/>
        <v>398</v>
      </c>
      <c r="C400" s="11">
        <v>85734.152247332735</v>
      </c>
      <c r="D400" s="180">
        <v>85734.152247332735</v>
      </c>
    </row>
    <row r="401" spans="2:4" x14ac:dyDescent="0.3">
      <c r="B401" s="11">
        <f t="shared" si="7"/>
        <v>399</v>
      </c>
      <c r="C401" s="11">
        <v>87206.048687514252</v>
      </c>
      <c r="D401" s="180">
        <v>87206.048687514252</v>
      </c>
    </row>
    <row r="402" spans="2:4" x14ac:dyDescent="0.3">
      <c r="B402" s="11">
        <f t="shared" si="7"/>
        <v>400</v>
      </c>
      <c r="C402" s="11">
        <v>120048.41670654243</v>
      </c>
      <c r="D402" s="180">
        <v>120048.41670654243</v>
      </c>
    </row>
    <row r="403" spans="2:4" x14ac:dyDescent="0.3">
      <c r="B403" s="11">
        <f t="shared" si="7"/>
        <v>401</v>
      </c>
      <c r="C403" s="11">
        <v>68000.4421694263</v>
      </c>
      <c r="D403" s="180">
        <v>68000.4421694263</v>
      </c>
    </row>
    <row r="404" spans="2:4" x14ac:dyDescent="0.3">
      <c r="B404" s="11">
        <f t="shared" si="7"/>
        <v>402</v>
      </c>
      <c r="C404" s="11">
        <v>80105.919267657242</v>
      </c>
      <c r="D404" s="180">
        <v>78164.101273495704</v>
      </c>
    </row>
    <row r="405" spans="2:4" x14ac:dyDescent="0.3">
      <c r="B405" s="11">
        <f t="shared" si="7"/>
        <v>403</v>
      </c>
      <c r="C405" s="11">
        <v>112617.40687250107</v>
      </c>
      <c r="D405" s="180">
        <v>112617.40687250107</v>
      </c>
    </row>
    <row r="406" spans="2:4" x14ac:dyDescent="0.3">
      <c r="B406" s="11">
        <f t="shared" si="7"/>
        <v>404</v>
      </c>
      <c r="C406" s="11">
        <v>79898.196670933394</v>
      </c>
      <c r="D406" s="180">
        <v>79898.196670933394</v>
      </c>
    </row>
    <row r="407" spans="2:4" x14ac:dyDescent="0.3">
      <c r="B407" s="11">
        <f t="shared" si="7"/>
        <v>405</v>
      </c>
      <c r="C407" s="11">
        <v>94715.338294745059</v>
      </c>
      <c r="D407" s="180">
        <v>94715.338294745059</v>
      </c>
    </row>
    <row r="408" spans="2:4" x14ac:dyDescent="0.3">
      <c r="B408" s="11">
        <f t="shared" si="7"/>
        <v>406</v>
      </c>
      <c r="C408" s="11">
        <v>78957.705160488651</v>
      </c>
      <c r="D408" s="180">
        <v>78957.705160488651</v>
      </c>
    </row>
    <row r="409" spans="2:4" x14ac:dyDescent="0.3">
      <c r="B409" s="11">
        <f t="shared" si="7"/>
        <v>407</v>
      </c>
      <c r="C409" s="11">
        <v>86380.880047291095</v>
      </c>
      <c r="D409" s="180">
        <v>86380.880047291095</v>
      </c>
    </row>
    <row r="410" spans="2:4" x14ac:dyDescent="0.3">
      <c r="B410" s="11">
        <f t="shared" si="7"/>
        <v>408</v>
      </c>
      <c r="C410" s="11">
        <v>102168.18923487527</v>
      </c>
      <c r="D410" s="180">
        <v>102168.18923487527</v>
      </c>
    </row>
    <row r="411" spans="2:4" x14ac:dyDescent="0.3">
      <c r="B411" s="11">
        <f t="shared" si="7"/>
        <v>409</v>
      </c>
      <c r="C411" s="11">
        <v>120856.67360639606</v>
      </c>
      <c r="D411" s="180">
        <v>120856.67360639606</v>
      </c>
    </row>
    <row r="412" spans="2:4" x14ac:dyDescent="0.3">
      <c r="B412" s="11">
        <f t="shared" si="7"/>
        <v>410</v>
      </c>
      <c r="C412" s="11">
        <v>100992.01959866044</v>
      </c>
      <c r="D412" s="180">
        <v>100992.01959866044</v>
      </c>
    </row>
    <row r="413" spans="2:4" x14ac:dyDescent="0.3">
      <c r="B413" s="11">
        <f t="shared" si="7"/>
        <v>411</v>
      </c>
      <c r="C413" s="11">
        <v>61057.004429290828</v>
      </c>
      <c r="D413" s="180">
        <v>61057.004429290828</v>
      </c>
    </row>
    <row r="414" spans="2:4" x14ac:dyDescent="0.3">
      <c r="B414" s="11">
        <f t="shared" si="7"/>
        <v>412</v>
      </c>
      <c r="C414" s="11">
        <v>109196.9115405208</v>
      </c>
      <c r="D414" s="180">
        <v>109196.9115405208</v>
      </c>
    </row>
    <row r="415" spans="2:4" x14ac:dyDescent="0.3">
      <c r="B415" s="11">
        <f t="shared" si="7"/>
        <v>413</v>
      </c>
      <c r="C415" s="11">
        <v>107456.21848200771</v>
      </c>
      <c r="D415" s="180">
        <v>107456.21848200771</v>
      </c>
    </row>
    <row r="416" spans="2:4" x14ac:dyDescent="0.3">
      <c r="B416" s="11">
        <f t="shared" si="7"/>
        <v>414</v>
      </c>
      <c r="C416" s="11">
        <v>100757.23801228229</v>
      </c>
      <c r="D416" s="180">
        <v>100757.23801228229</v>
      </c>
    </row>
    <row r="417" spans="2:4" x14ac:dyDescent="0.3">
      <c r="B417" s="11">
        <f t="shared" si="7"/>
        <v>415</v>
      </c>
      <c r="C417" s="11">
        <v>96274.960299137907</v>
      </c>
      <c r="D417" s="180">
        <v>96274.960299137907</v>
      </c>
    </row>
    <row r="418" spans="2:4" x14ac:dyDescent="0.3">
      <c r="B418" s="11">
        <f t="shared" si="7"/>
        <v>416</v>
      </c>
      <c r="C418" s="11">
        <v>97325.641865604965</v>
      </c>
      <c r="D418" s="180">
        <v>97325.641865604965</v>
      </c>
    </row>
    <row r="419" spans="2:4" x14ac:dyDescent="0.3">
      <c r="B419" s="11">
        <f t="shared" si="7"/>
        <v>417</v>
      </c>
      <c r="C419" s="11">
        <v>106360.00814705133</v>
      </c>
      <c r="D419" s="180">
        <v>106360.00814705133</v>
      </c>
    </row>
    <row r="420" spans="2:4" x14ac:dyDescent="0.3">
      <c r="B420" s="11">
        <f t="shared" si="7"/>
        <v>418</v>
      </c>
      <c r="C420" s="11">
        <v>84656.225386407983</v>
      </c>
      <c r="D420" s="180">
        <v>84656.225386407983</v>
      </c>
    </row>
    <row r="421" spans="2:4" x14ac:dyDescent="0.3">
      <c r="B421" s="11">
        <f t="shared" si="7"/>
        <v>419</v>
      </c>
      <c r="C421" s="11">
        <v>94589.283441451844</v>
      </c>
      <c r="D421" s="180">
        <v>94589.283441451844</v>
      </c>
    </row>
    <row r="422" spans="2:4" x14ac:dyDescent="0.3">
      <c r="B422" s="11">
        <f t="shared" si="7"/>
        <v>420</v>
      </c>
      <c r="C422" s="11">
        <v>93904.354789690231</v>
      </c>
      <c r="D422" s="180">
        <v>93904.354789690231</v>
      </c>
    </row>
    <row r="423" spans="2:4" x14ac:dyDescent="0.3">
      <c r="B423" s="11">
        <f t="shared" si="7"/>
        <v>421</v>
      </c>
      <c r="C423" s="11">
        <v>95065.842771099444</v>
      </c>
      <c r="D423" s="180">
        <v>95065.842771099444</v>
      </c>
    </row>
    <row r="424" spans="2:4" x14ac:dyDescent="0.3">
      <c r="B424" s="11">
        <f t="shared" si="7"/>
        <v>422</v>
      </c>
      <c r="C424" s="11">
        <v>92290.80238095086</v>
      </c>
      <c r="D424" s="180">
        <v>92290.80238095086</v>
      </c>
    </row>
    <row r="425" spans="2:4" x14ac:dyDescent="0.3">
      <c r="B425" s="11">
        <f t="shared" si="7"/>
        <v>423</v>
      </c>
      <c r="C425" s="11">
        <v>83822.103383934242</v>
      </c>
      <c r="D425" s="180">
        <v>83822.103383934242</v>
      </c>
    </row>
    <row r="426" spans="2:4" x14ac:dyDescent="0.3">
      <c r="B426" s="11">
        <f t="shared" si="7"/>
        <v>424</v>
      </c>
      <c r="C426" s="11">
        <v>84022.471024853585</v>
      </c>
      <c r="D426" s="180">
        <v>84022.471024853585</v>
      </c>
    </row>
    <row r="427" spans="2:4" x14ac:dyDescent="0.3">
      <c r="B427" s="11">
        <f t="shared" si="7"/>
        <v>425</v>
      </c>
      <c r="C427" s="11">
        <v>114305.05178160316</v>
      </c>
      <c r="D427" s="180">
        <v>115078.84534833112</v>
      </c>
    </row>
    <row r="428" spans="2:4" x14ac:dyDescent="0.3">
      <c r="B428" s="11">
        <f t="shared" si="7"/>
        <v>426</v>
      </c>
      <c r="C428" s="11">
        <v>72775.850178272434</v>
      </c>
      <c r="D428" s="180">
        <v>72775.850178272434</v>
      </c>
    </row>
    <row r="429" spans="2:4" x14ac:dyDescent="0.3">
      <c r="B429" s="11">
        <f t="shared" si="7"/>
        <v>427</v>
      </c>
      <c r="C429" s="11">
        <v>118222.36308749487</v>
      </c>
      <c r="D429" s="180">
        <v>118222.36308749487</v>
      </c>
    </row>
    <row r="430" spans="2:4" x14ac:dyDescent="0.3">
      <c r="B430" s="11">
        <f t="shared" si="7"/>
        <v>428</v>
      </c>
      <c r="C430" s="11">
        <v>109056.0725266736</v>
      </c>
      <c r="D430" s="180">
        <v>109056.0725266736</v>
      </c>
    </row>
    <row r="431" spans="2:4" x14ac:dyDescent="0.3">
      <c r="B431" s="11">
        <f t="shared" si="7"/>
        <v>429</v>
      </c>
      <c r="C431" s="11">
        <v>71843.4710042019</v>
      </c>
      <c r="D431" s="180">
        <v>71843.4710042019</v>
      </c>
    </row>
    <row r="432" spans="2:4" x14ac:dyDescent="0.3">
      <c r="B432" s="11">
        <f t="shared" si="7"/>
        <v>430</v>
      </c>
      <c r="C432" s="11">
        <v>100399.10030400597</v>
      </c>
      <c r="D432" s="180">
        <v>100399.10030400597</v>
      </c>
    </row>
    <row r="433" spans="2:4" x14ac:dyDescent="0.3">
      <c r="B433" s="11">
        <f t="shared" si="7"/>
        <v>431</v>
      </c>
      <c r="C433" s="11">
        <v>102851.27780199346</v>
      </c>
      <c r="D433" s="180">
        <v>102851.27780199346</v>
      </c>
    </row>
    <row r="434" spans="2:4" x14ac:dyDescent="0.3">
      <c r="B434" s="11">
        <f t="shared" si="7"/>
        <v>432</v>
      </c>
      <c r="C434" s="11">
        <v>91430.440027407341</v>
      </c>
      <c r="D434" s="180">
        <v>91430.440027407341</v>
      </c>
    </row>
    <row r="435" spans="2:4" x14ac:dyDescent="0.3">
      <c r="B435" s="11">
        <f t="shared" si="7"/>
        <v>433</v>
      </c>
      <c r="C435" s="11">
        <v>61756.354973719041</v>
      </c>
      <c r="D435" s="180">
        <v>61756.354973719041</v>
      </c>
    </row>
    <row r="436" spans="2:4" x14ac:dyDescent="0.3">
      <c r="B436" s="11">
        <f t="shared" si="7"/>
        <v>434</v>
      </c>
      <c r="C436" s="11">
        <v>76152.258092866527</v>
      </c>
      <c r="D436" s="180">
        <v>73148.728530142849</v>
      </c>
    </row>
    <row r="437" spans="2:4" x14ac:dyDescent="0.3">
      <c r="B437" s="11">
        <f t="shared" si="7"/>
        <v>435</v>
      </c>
      <c r="C437" s="11">
        <v>103235.98235177422</v>
      </c>
      <c r="D437" s="180">
        <v>103235.98235177422</v>
      </c>
    </row>
    <row r="438" spans="2:4" x14ac:dyDescent="0.3">
      <c r="B438" s="11">
        <f t="shared" si="7"/>
        <v>436</v>
      </c>
      <c r="C438" s="11">
        <v>113023.76398966665</v>
      </c>
      <c r="D438" s="180">
        <v>113023.76398966665</v>
      </c>
    </row>
    <row r="439" spans="2:4" x14ac:dyDescent="0.3">
      <c r="B439" s="11">
        <f t="shared" si="7"/>
        <v>437</v>
      </c>
      <c r="C439" s="11">
        <v>112012.51768770737</v>
      </c>
      <c r="D439" s="180">
        <v>112012.51768770737</v>
      </c>
    </row>
    <row r="440" spans="2:4" x14ac:dyDescent="0.3">
      <c r="B440" s="11">
        <f t="shared" si="7"/>
        <v>438</v>
      </c>
      <c r="C440" s="11">
        <v>91556.970013202605</v>
      </c>
      <c r="D440" s="180">
        <v>91556.970013202605</v>
      </c>
    </row>
    <row r="441" spans="2:4" x14ac:dyDescent="0.3">
      <c r="B441" s="11">
        <f t="shared" si="7"/>
        <v>439</v>
      </c>
      <c r="C441" s="11">
        <v>117208.78845562565</v>
      </c>
      <c r="D441" s="180">
        <v>117208.78845562565</v>
      </c>
    </row>
    <row r="442" spans="2:4" x14ac:dyDescent="0.3">
      <c r="B442" s="11">
        <f t="shared" si="7"/>
        <v>440</v>
      </c>
      <c r="C442" s="11">
        <v>83642.372267415631</v>
      </c>
      <c r="D442" s="180">
        <v>83642.372267415631</v>
      </c>
    </row>
    <row r="443" spans="2:4" x14ac:dyDescent="0.3">
      <c r="B443" s="11">
        <f t="shared" si="7"/>
        <v>441</v>
      </c>
      <c r="C443" s="11">
        <v>64993.430238460111</v>
      </c>
      <c r="D443" s="180">
        <v>64993.430238460111</v>
      </c>
    </row>
    <row r="444" spans="2:4" x14ac:dyDescent="0.3">
      <c r="B444" s="11">
        <f t="shared" si="7"/>
        <v>442</v>
      </c>
      <c r="C444" s="11">
        <v>70200.300162214087</v>
      </c>
      <c r="D444" s="180">
        <v>70200.300162214087</v>
      </c>
    </row>
    <row r="445" spans="2:4" x14ac:dyDescent="0.3">
      <c r="B445" s="11">
        <f t="shared" si="7"/>
        <v>443</v>
      </c>
      <c r="C445" s="11">
        <v>103077.82138441522</v>
      </c>
      <c r="D445" s="180">
        <v>103077.82138441522</v>
      </c>
    </row>
    <row r="446" spans="2:4" x14ac:dyDescent="0.3">
      <c r="B446" s="11">
        <f t="shared" si="7"/>
        <v>444</v>
      </c>
      <c r="C446" s="11">
        <v>87442.488711544444</v>
      </c>
      <c r="D446" s="180">
        <v>87442.488711544444</v>
      </c>
    </row>
    <row r="447" spans="2:4" x14ac:dyDescent="0.3">
      <c r="B447" s="11">
        <f t="shared" si="7"/>
        <v>445</v>
      </c>
      <c r="C447" s="11">
        <v>85615.815860286821</v>
      </c>
      <c r="D447" s="180">
        <v>85615.815860286821</v>
      </c>
    </row>
    <row r="448" spans="2:4" x14ac:dyDescent="0.3">
      <c r="B448" s="11">
        <f t="shared" si="7"/>
        <v>446</v>
      </c>
      <c r="C448" s="11">
        <v>107222.7555222934</v>
      </c>
      <c r="D448" s="180">
        <v>107222.7555222934</v>
      </c>
    </row>
    <row r="449" spans="2:4" x14ac:dyDescent="0.3">
      <c r="B449" s="11">
        <f t="shared" si="7"/>
        <v>447</v>
      </c>
      <c r="C449" s="11">
        <v>100909.26943668413</v>
      </c>
      <c r="D449" s="180">
        <v>102437.75591856062</v>
      </c>
    </row>
    <row r="450" spans="2:4" x14ac:dyDescent="0.3">
      <c r="B450" s="11">
        <f t="shared" si="7"/>
        <v>448</v>
      </c>
      <c r="C450" s="11">
        <v>79306.673178727608</v>
      </c>
      <c r="D450" s="180">
        <v>79306.673178727608</v>
      </c>
    </row>
    <row r="451" spans="2:4" x14ac:dyDescent="0.3">
      <c r="B451" s="11">
        <f t="shared" si="7"/>
        <v>449</v>
      </c>
      <c r="C451" s="11">
        <v>92355.260515380171</v>
      </c>
      <c r="D451" s="180">
        <v>92355.260515380171</v>
      </c>
    </row>
    <row r="452" spans="2:4" x14ac:dyDescent="0.3">
      <c r="B452" s="11">
        <f t="shared" si="7"/>
        <v>450</v>
      </c>
      <c r="C452" s="11">
        <v>97203.244920935787</v>
      </c>
      <c r="D452" s="180">
        <v>97203.244920935787</v>
      </c>
    </row>
    <row r="453" spans="2:4" x14ac:dyDescent="0.3">
      <c r="B453" s="11">
        <f t="shared" ref="B453:B516" si="8">B452+1</f>
        <v>451</v>
      </c>
      <c r="C453" s="11">
        <v>72051.945343564847</v>
      </c>
      <c r="D453" s="180">
        <v>72051.945343564847</v>
      </c>
    </row>
    <row r="454" spans="2:4" x14ac:dyDescent="0.3">
      <c r="B454" s="11">
        <f t="shared" si="8"/>
        <v>452</v>
      </c>
      <c r="C454" s="11">
        <v>88311.702813724478</v>
      </c>
      <c r="D454" s="180">
        <v>88311.702813724478</v>
      </c>
    </row>
    <row r="455" spans="2:4" x14ac:dyDescent="0.3">
      <c r="B455" s="11">
        <f t="shared" si="8"/>
        <v>453</v>
      </c>
      <c r="C455" s="11">
        <v>96417.843915072837</v>
      </c>
      <c r="D455" s="180">
        <v>96417.843915072837</v>
      </c>
    </row>
    <row r="456" spans="2:4" x14ac:dyDescent="0.3">
      <c r="B456" s="11">
        <f t="shared" si="8"/>
        <v>454</v>
      </c>
      <c r="C456" s="11">
        <v>74994.084512521265</v>
      </c>
      <c r="D456" s="180">
        <v>74994.084512521265</v>
      </c>
    </row>
    <row r="457" spans="2:4" x14ac:dyDescent="0.3">
      <c r="B457" s="11">
        <f t="shared" si="8"/>
        <v>455</v>
      </c>
      <c r="C457" s="11">
        <v>89987.854354379277</v>
      </c>
      <c r="D457" s="180">
        <v>89987.854354379277</v>
      </c>
    </row>
    <row r="458" spans="2:4" x14ac:dyDescent="0.3">
      <c r="B458" s="11">
        <f t="shared" si="8"/>
        <v>456</v>
      </c>
      <c r="C458" s="11">
        <v>96097.848131153034</v>
      </c>
      <c r="D458" s="180">
        <v>96097.848131153034</v>
      </c>
    </row>
    <row r="459" spans="2:4" x14ac:dyDescent="0.3">
      <c r="B459" s="11">
        <f t="shared" si="8"/>
        <v>457</v>
      </c>
      <c r="C459" s="11">
        <v>75345.648107953952</v>
      </c>
      <c r="D459" s="180">
        <v>75345.648107953952</v>
      </c>
    </row>
    <row r="460" spans="2:4" x14ac:dyDescent="0.3">
      <c r="B460" s="11">
        <f t="shared" si="8"/>
        <v>458</v>
      </c>
      <c r="C460" s="11">
        <v>110143.19216992933</v>
      </c>
      <c r="D460" s="180">
        <v>110143.19216992933</v>
      </c>
    </row>
    <row r="461" spans="2:4" x14ac:dyDescent="0.3">
      <c r="B461" s="11">
        <f t="shared" si="8"/>
        <v>459</v>
      </c>
      <c r="C461" s="11">
        <v>87683.876348915699</v>
      </c>
      <c r="D461" s="180">
        <v>87683.876348915699</v>
      </c>
    </row>
    <row r="462" spans="2:4" x14ac:dyDescent="0.3">
      <c r="B462" s="11">
        <f t="shared" si="8"/>
        <v>460</v>
      </c>
      <c r="C462" s="11">
        <v>75820.624663582683</v>
      </c>
      <c r="D462" s="180">
        <v>73893.840661998576</v>
      </c>
    </row>
    <row r="463" spans="2:4" x14ac:dyDescent="0.3">
      <c r="B463" s="11">
        <f t="shared" si="8"/>
        <v>461</v>
      </c>
      <c r="C463" s="11">
        <v>110019.65109682351</v>
      </c>
      <c r="D463" s="180">
        <v>110019.65109682351</v>
      </c>
    </row>
    <row r="464" spans="2:4" x14ac:dyDescent="0.3">
      <c r="B464" s="11">
        <f t="shared" si="8"/>
        <v>462</v>
      </c>
      <c r="C464" s="11">
        <v>76716.353954304926</v>
      </c>
      <c r="D464" s="180">
        <v>76716.353954304926</v>
      </c>
    </row>
    <row r="465" spans="2:4" x14ac:dyDescent="0.3">
      <c r="B465" s="11">
        <f t="shared" si="8"/>
        <v>463</v>
      </c>
      <c r="C465" s="11">
        <v>68434.89650012723</v>
      </c>
      <c r="D465" s="180">
        <v>68434.89650012723</v>
      </c>
    </row>
    <row r="466" spans="2:4" x14ac:dyDescent="0.3">
      <c r="B466" s="11">
        <f t="shared" si="8"/>
        <v>464</v>
      </c>
      <c r="C466" s="11">
        <v>83601.920766022071</v>
      </c>
      <c r="D466" s="180">
        <v>83601.920766022071</v>
      </c>
    </row>
    <row r="467" spans="2:4" x14ac:dyDescent="0.3">
      <c r="B467" s="11">
        <f t="shared" si="8"/>
        <v>465</v>
      </c>
      <c r="C467" s="11">
        <v>93664.066345521715</v>
      </c>
      <c r="D467" s="180">
        <v>95161.251049698723</v>
      </c>
    </row>
    <row r="468" spans="2:4" x14ac:dyDescent="0.3">
      <c r="B468" s="11">
        <f t="shared" si="8"/>
        <v>466</v>
      </c>
      <c r="C468" s="11">
        <v>103825.27235437313</v>
      </c>
      <c r="D468" s="180">
        <v>103825.27235437313</v>
      </c>
    </row>
    <row r="469" spans="2:4" x14ac:dyDescent="0.3">
      <c r="B469" s="11">
        <f t="shared" si="8"/>
        <v>467</v>
      </c>
      <c r="C469" s="11">
        <v>69323.032836865619</v>
      </c>
      <c r="D469" s="180">
        <v>64361.967745732429</v>
      </c>
    </row>
    <row r="470" spans="2:4" x14ac:dyDescent="0.3">
      <c r="B470" s="11">
        <f t="shared" si="8"/>
        <v>468</v>
      </c>
      <c r="C470" s="11">
        <v>85810.333707806349</v>
      </c>
      <c r="D470" s="180">
        <v>85810.333707806349</v>
      </c>
    </row>
    <row r="471" spans="2:4" x14ac:dyDescent="0.3">
      <c r="B471" s="11">
        <f t="shared" si="8"/>
        <v>469</v>
      </c>
      <c r="C471" s="11">
        <v>84067.378459637504</v>
      </c>
      <c r="D471" s="180">
        <v>84067.378459637504</v>
      </c>
    </row>
    <row r="472" spans="2:4" x14ac:dyDescent="0.3">
      <c r="B472" s="11">
        <f t="shared" si="8"/>
        <v>470</v>
      </c>
      <c r="C472" s="11">
        <v>97485.948068234822</v>
      </c>
      <c r="D472" s="180">
        <v>95799.385588937701</v>
      </c>
    </row>
    <row r="473" spans="2:4" x14ac:dyDescent="0.3">
      <c r="B473" s="11">
        <f t="shared" si="8"/>
        <v>471</v>
      </c>
      <c r="C473" s="11">
        <v>86863.35511114604</v>
      </c>
      <c r="D473" s="180">
        <v>86863.35511114604</v>
      </c>
    </row>
    <row r="474" spans="2:4" x14ac:dyDescent="0.3">
      <c r="B474" s="11">
        <f t="shared" si="8"/>
        <v>472</v>
      </c>
      <c r="C474" s="11">
        <v>76158.028452588944</v>
      </c>
      <c r="D474" s="180">
        <v>76158.028452588944</v>
      </c>
    </row>
    <row r="475" spans="2:4" x14ac:dyDescent="0.3">
      <c r="B475" s="11">
        <f t="shared" si="8"/>
        <v>473</v>
      </c>
      <c r="C475" s="11">
        <v>83670.169202686113</v>
      </c>
      <c r="D475" s="180">
        <v>83670.169202686113</v>
      </c>
    </row>
    <row r="476" spans="2:4" x14ac:dyDescent="0.3">
      <c r="B476" s="11">
        <f t="shared" si="8"/>
        <v>474</v>
      </c>
      <c r="C476" s="11">
        <v>94930.450135168954</v>
      </c>
      <c r="D476" s="180">
        <v>94930.450135168954</v>
      </c>
    </row>
    <row r="477" spans="2:4" x14ac:dyDescent="0.3">
      <c r="B477" s="11">
        <f t="shared" si="8"/>
        <v>475</v>
      </c>
      <c r="C477" s="11">
        <v>70087.692596767098</v>
      </c>
      <c r="D477" s="180">
        <v>70087.692596767098</v>
      </c>
    </row>
    <row r="478" spans="2:4" x14ac:dyDescent="0.3">
      <c r="B478" s="11">
        <f t="shared" si="8"/>
        <v>476</v>
      </c>
      <c r="C478" s="11">
        <v>108857.80341591228</v>
      </c>
      <c r="D478" s="180">
        <v>108857.80341591228</v>
      </c>
    </row>
    <row r="479" spans="2:4" x14ac:dyDescent="0.3">
      <c r="B479" s="11">
        <f t="shared" si="8"/>
        <v>477</v>
      </c>
      <c r="C479" s="11">
        <v>91793.983956093187</v>
      </c>
      <c r="D479" s="180">
        <v>91793.983956093187</v>
      </c>
    </row>
    <row r="480" spans="2:4" x14ac:dyDescent="0.3">
      <c r="B480" s="11">
        <f t="shared" si="8"/>
        <v>478</v>
      </c>
      <c r="C480" s="11">
        <v>99990.239851105289</v>
      </c>
      <c r="D480" s="180">
        <v>99990.239851105289</v>
      </c>
    </row>
    <row r="481" spans="2:4" x14ac:dyDescent="0.3">
      <c r="B481" s="11">
        <f t="shared" si="8"/>
        <v>479</v>
      </c>
      <c r="C481" s="11">
        <v>104754.25458895258</v>
      </c>
      <c r="D481" s="180">
        <v>104754.25458895258</v>
      </c>
    </row>
    <row r="482" spans="2:4" x14ac:dyDescent="0.3">
      <c r="B482" s="11">
        <f t="shared" si="8"/>
        <v>480</v>
      </c>
      <c r="C482" s="11">
        <v>92264.49330022854</v>
      </c>
      <c r="D482" s="180">
        <v>92264.49330022854</v>
      </c>
    </row>
    <row r="483" spans="2:4" x14ac:dyDescent="0.3">
      <c r="B483" s="11">
        <f t="shared" si="8"/>
        <v>481</v>
      </c>
      <c r="C483" s="11">
        <v>75252.725720239716</v>
      </c>
      <c r="D483" s="180">
        <v>75252.725720239716</v>
      </c>
    </row>
    <row r="484" spans="2:4" x14ac:dyDescent="0.3">
      <c r="B484" s="11">
        <f t="shared" si="8"/>
        <v>482</v>
      </c>
      <c r="C484" s="11">
        <v>86992.928474118642</v>
      </c>
      <c r="D484" s="180">
        <v>86992.928474118642</v>
      </c>
    </row>
    <row r="485" spans="2:4" x14ac:dyDescent="0.3">
      <c r="B485" s="11">
        <f t="shared" si="8"/>
        <v>483</v>
      </c>
      <c r="C485" s="11">
        <v>100544.86789766846</v>
      </c>
      <c r="D485" s="180">
        <v>102472.81470496989</v>
      </c>
    </row>
    <row r="486" spans="2:4" x14ac:dyDescent="0.3">
      <c r="B486" s="11">
        <f t="shared" si="8"/>
        <v>484</v>
      </c>
      <c r="C486" s="11">
        <v>91241.769550093741</v>
      </c>
      <c r="D486" s="180">
        <v>91241.769550093741</v>
      </c>
    </row>
    <row r="487" spans="2:4" x14ac:dyDescent="0.3">
      <c r="B487" s="11">
        <f t="shared" si="8"/>
        <v>485</v>
      </c>
      <c r="C487" s="11">
        <v>106135.31690962662</v>
      </c>
      <c r="D487" s="180">
        <v>106135.31690962662</v>
      </c>
    </row>
    <row r="488" spans="2:4" x14ac:dyDescent="0.3">
      <c r="B488" s="11">
        <f t="shared" si="8"/>
        <v>486</v>
      </c>
      <c r="C488" s="11">
        <v>84536.239653880359</v>
      </c>
      <c r="D488" s="180">
        <v>84536.239653880359</v>
      </c>
    </row>
    <row r="489" spans="2:4" x14ac:dyDescent="0.3">
      <c r="B489" s="11">
        <f t="shared" si="8"/>
        <v>487</v>
      </c>
      <c r="C489" s="11">
        <v>84078.707084978043</v>
      </c>
      <c r="D489" s="180">
        <v>84078.707084978043</v>
      </c>
    </row>
    <row r="490" spans="2:4" x14ac:dyDescent="0.3">
      <c r="B490" s="11">
        <f t="shared" si="8"/>
        <v>488</v>
      </c>
      <c r="C490" s="11">
        <v>85683.601112722215</v>
      </c>
      <c r="D490" s="180">
        <v>85683.601112722215</v>
      </c>
    </row>
    <row r="491" spans="2:4" x14ac:dyDescent="0.3">
      <c r="B491" s="11">
        <f t="shared" si="8"/>
        <v>489</v>
      </c>
      <c r="C491" s="11">
        <v>96459.424354978037</v>
      </c>
      <c r="D491" s="180">
        <v>96459.424354978037</v>
      </c>
    </row>
    <row r="492" spans="2:4" x14ac:dyDescent="0.3">
      <c r="B492" s="11">
        <f t="shared" si="8"/>
        <v>490</v>
      </c>
      <c r="C492" s="11">
        <v>87755.804424455739</v>
      </c>
      <c r="D492" s="180">
        <v>86385.947723557561</v>
      </c>
    </row>
    <row r="493" spans="2:4" x14ac:dyDescent="0.3">
      <c r="B493" s="11">
        <f t="shared" si="8"/>
        <v>491</v>
      </c>
      <c r="C493" s="11">
        <v>107998.77177108989</v>
      </c>
      <c r="D493" s="180">
        <v>107998.77177108989</v>
      </c>
    </row>
    <row r="494" spans="2:4" x14ac:dyDescent="0.3">
      <c r="B494" s="11">
        <f t="shared" si="8"/>
        <v>492</v>
      </c>
      <c r="C494" s="11">
        <v>80404.884981202151</v>
      </c>
      <c r="D494" s="180">
        <v>80404.884981202151</v>
      </c>
    </row>
    <row r="495" spans="2:4" x14ac:dyDescent="0.3">
      <c r="B495" s="11">
        <f t="shared" si="8"/>
        <v>493</v>
      </c>
      <c r="C495" s="11">
        <v>84884.047533831617</v>
      </c>
      <c r="D495" s="180">
        <v>84884.047533831617</v>
      </c>
    </row>
    <row r="496" spans="2:4" x14ac:dyDescent="0.3">
      <c r="B496" s="11">
        <f t="shared" si="8"/>
        <v>494</v>
      </c>
      <c r="C496" s="11">
        <v>125313.36092493206</v>
      </c>
      <c r="D496" s="180">
        <v>126620.1527720322</v>
      </c>
    </row>
    <row r="497" spans="2:4" x14ac:dyDescent="0.3">
      <c r="B497" s="11">
        <f t="shared" si="8"/>
        <v>495</v>
      </c>
      <c r="C497" s="11">
        <v>108277.94749290792</v>
      </c>
      <c r="D497" s="180">
        <v>108277.94749290792</v>
      </c>
    </row>
    <row r="498" spans="2:4" x14ac:dyDescent="0.3">
      <c r="B498" s="11">
        <f t="shared" si="8"/>
        <v>496</v>
      </c>
      <c r="C498" s="11">
        <v>89616.566163918498</v>
      </c>
      <c r="D498" s="180">
        <v>89616.566163918498</v>
      </c>
    </row>
    <row r="499" spans="2:4" x14ac:dyDescent="0.3">
      <c r="B499" s="11">
        <f t="shared" si="8"/>
        <v>497</v>
      </c>
      <c r="C499" s="11">
        <v>94219.3163424917</v>
      </c>
      <c r="D499" s="180">
        <v>94219.3163424917</v>
      </c>
    </row>
    <row r="500" spans="2:4" x14ac:dyDescent="0.3">
      <c r="B500" s="11">
        <f t="shared" si="8"/>
        <v>498</v>
      </c>
      <c r="C500" s="11">
        <v>99781.504114806026</v>
      </c>
      <c r="D500" s="180">
        <v>99781.504114806026</v>
      </c>
    </row>
    <row r="501" spans="2:4" x14ac:dyDescent="0.3">
      <c r="B501" s="11">
        <f t="shared" si="8"/>
        <v>499</v>
      </c>
      <c r="C501" s="11">
        <v>93015.043033749345</v>
      </c>
      <c r="D501" s="180">
        <v>93015.043033749345</v>
      </c>
    </row>
    <row r="502" spans="2:4" x14ac:dyDescent="0.3">
      <c r="B502" s="11">
        <f t="shared" si="8"/>
        <v>500</v>
      </c>
      <c r="C502" s="11">
        <v>106257.91952589896</v>
      </c>
      <c r="D502" s="180">
        <v>106257.91952589896</v>
      </c>
    </row>
    <row r="503" spans="2:4" x14ac:dyDescent="0.3">
      <c r="B503" s="11">
        <f t="shared" si="8"/>
        <v>501</v>
      </c>
      <c r="C503" s="11">
        <v>103499.4785390031</v>
      </c>
      <c r="D503" s="180">
        <v>103499.4785390031</v>
      </c>
    </row>
    <row r="504" spans="2:4" x14ac:dyDescent="0.3">
      <c r="B504" s="11">
        <f t="shared" si="8"/>
        <v>502</v>
      </c>
      <c r="C504" s="11">
        <v>116051.00448151035</v>
      </c>
      <c r="D504" s="180">
        <v>116051.00448151035</v>
      </c>
    </row>
    <row r="505" spans="2:4" x14ac:dyDescent="0.3">
      <c r="B505" s="11">
        <f t="shared" si="8"/>
        <v>503</v>
      </c>
      <c r="C505" s="11">
        <v>76873.905152692561</v>
      </c>
      <c r="D505" s="180">
        <v>74644.68205222275</v>
      </c>
    </row>
    <row r="506" spans="2:4" x14ac:dyDescent="0.3">
      <c r="B506" s="11">
        <f t="shared" si="8"/>
        <v>504</v>
      </c>
      <c r="C506" s="11">
        <v>102836.5442792445</v>
      </c>
      <c r="D506" s="180">
        <v>104276.36390201221</v>
      </c>
    </row>
    <row r="507" spans="2:4" x14ac:dyDescent="0.3">
      <c r="B507" s="11">
        <f t="shared" si="8"/>
        <v>505</v>
      </c>
      <c r="C507" s="11">
        <v>109299.10559915396</v>
      </c>
      <c r="D507" s="180">
        <v>109299.10559915396</v>
      </c>
    </row>
    <row r="508" spans="2:4" x14ac:dyDescent="0.3">
      <c r="B508" s="11">
        <f t="shared" si="8"/>
        <v>506</v>
      </c>
      <c r="C508" s="11">
        <v>105563.578999398</v>
      </c>
      <c r="D508" s="180">
        <v>105563.578999398</v>
      </c>
    </row>
    <row r="509" spans="2:4" x14ac:dyDescent="0.3">
      <c r="B509" s="11">
        <f t="shared" si="8"/>
        <v>507</v>
      </c>
      <c r="C509" s="11">
        <v>101992.16500761572</v>
      </c>
      <c r="D509" s="180">
        <v>101992.16500761572</v>
      </c>
    </row>
    <row r="510" spans="2:4" x14ac:dyDescent="0.3">
      <c r="B510" s="11">
        <f t="shared" si="8"/>
        <v>508</v>
      </c>
      <c r="C510" s="11">
        <v>95982.668845498978</v>
      </c>
      <c r="D510" s="180">
        <v>93376.982655415835</v>
      </c>
    </row>
    <row r="511" spans="2:4" x14ac:dyDescent="0.3">
      <c r="B511" s="11">
        <f t="shared" si="8"/>
        <v>509</v>
      </c>
      <c r="C511" s="11">
        <v>63422.332093268851</v>
      </c>
      <c r="D511" s="180">
        <v>63422.332093268851</v>
      </c>
    </row>
    <row r="512" spans="2:4" x14ac:dyDescent="0.3">
      <c r="B512" s="11">
        <f t="shared" si="8"/>
        <v>510</v>
      </c>
      <c r="C512" s="11">
        <v>86495.174173465479</v>
      </c>
      <c r="D512" s="180">
        <v>86495.174173465479</v>
      </c>
    </row>
    <row r="513" spans="2:4" x14ac:dyDescent="0.3">
      <c r="B513" s="11">
        <f t="shared" si="8"/>
        <v>511</v>
      </c>
      <c r="C513" s="11">
        <v>68411.500071533985</v>
      </c>
      <c r="D513" s="180">
        <v>68411.500071533985</v>
      </c>
    </row>
    <row r="514" spans="2:4" x14ac:dyDescent="0.3">
      <c r="B514" s="11">
        <f t="shared" si="8"/>
        <v>512</v>
      </c>
      <c r="C514" s="11">
        <v>104493.94820352268</v>
      </c>
      <c r="D514" s="180">
        <v>104493.94820352268</v>
      </c>
    </row>
    <row r="515" spans="2:4" x14ac:dyDescent="0.3">
      <c r="B515" s="11">
        <f t="shared" si="8"/>
        <v>513</v>
      </c>
      <c r="C515" s="11">
        <v>109447.91400958745</v>
      </c>
      <c r="D515" s="180">
        <v>111344.65540857207</v>
      </c>
    </row>
    <row r="516" spans="2:4" x14ac:dyDescent="0.3">
      <c r="B516" s="11">
        <f t="shared" si="8"/>
        <v>514</v>
      </c>
      <c r="C516" s="11">
        <v>91283.112772639201</v>
      </c>
      <c r="D516" s="180">
        <v>91283.112772639201</v>
      </c>
    </row>
    <row r="517" spans="2:4" x14ac:dyDescent="0.3">
      <c r="B517" s="11">
        <f t="shared" ref="B517:B580" si="9">B516+1</f>
        <v>515</v>
      </c>
      <c r="C517" s="11">
        <v>71804.415595668368</v>
      </c>
      <c r="D517" s="180">
        <v>70249.91764775927</v>
      </c>
    </row>
    <row r="518" spans="2:4" x14ac:dyDescent="0.3">
      <c r="B518" s="11">
        <f t="shared" si="9"/>
        <v>516</v>
      </c>
      <c r="C518" s="11">
        <v>107648.51470092958</v>
      </c>
      <c r="D518" s="180">
        <v>107648.51470092958</v>
      </c>
    </row>
    <row r="519" spans="2:4" x14ac:dyDescent="0.3">
      <c r="B519" s="11">
        <f t="shared" si="9"/>
        <v>517</v>
      </c>
      <c r="C519" s="11">
        <v>97537.053862237794</v>
      </c>
      <c r="D519" s="180">
        <v>97537.053862237794</v>
      </c>
    </row>
    <row r="520" spans="2:4" x14ac:dyDescent="0.3">
      <c r="B520" s="11">
        <f t="shared" si="9"/>
        <v>518</v>
      </c>
      <c r="C520" s="11">
        <v>92300.887597374982</v>
      </c>
      <c r="D520" s="180">
        <v>92300.887597374982</v>
      </c>
    </row>
    <row r="521" spans="2:4" x14ac:dyDescent="0.3">
      <c r="B521" s="11">
        <f t="shared" si="9"/>
        <v>519</v>
      </c>
      <c r="C521" s="11">
        <v>92760.638091140747</v>
      </c>
      <c r="D521" s="180">
        <v>92760.638091140747</v>
      </c>
    </row>
    <row r="522" spans="2:4" x14ac:dyDescent="0.3">
      <c r="B522" s="11">
        <f t="shared" si="9"/>
        <v>520</v>
      </c>
      <c r="C522" s="11">
        <v>100657.28961615935</v>
      </c>
      <c r="D522" s="180">
        <v>98475.731770284314</v>
      </c>
    </row>
    <row r="523" spans="2:4" x14ac:dyDescent="0.3">
      <c r="B523" s="11">
        <f t="shared" si="9"/>
        <v>521</v>
      </c>
      <c r="C523" s="11">
        <v>100721.65913541714</v>
      </c>
      <c r="D523" s="180">
        <v>100721.65913541714</v>
      </c>
    </row>
    <row r="524" spans="2:4" x14ac:dyDescent="0.3">
      <c r="B524" s="11">
        <f t="shared" si="9"/>
        <v>522</v>
      </c>
      <c r="C524" s="11">
        <v>101498.21469089881</v>
      </c>
      <c r="D524" s="180">
        <v>101498.21469089881</v>
      </c>
    </row>
    <row r="525" spans="2:4" x14ac:dyDescent="0.3">
      <c r="B525" s="11">
        <f t="shared" si="9"/>
        <v>523</v>
      </c>
      <c r="C525" s="11">
        <v>76736.531261636948</v>
      </c>
      <c r="D525" s="180">
        <v>76736.531261636948</v>
      </c>
    </row>
    <row r="526" spans="2:4" x14ac:dyDescent="0.3">
      <c r="B526" s="11">
        <f t="shared" si="9"/>
        <v>524</v>
      </c>
      <c r="C526" s="11">
        <v>132023.4067987914</v>
      </c>
      <c r="D526" s="180">
        <v>132023.4067987914</v>
      </c>
    </row>
    <row r="527" spans="2:4" x14ac:dyDescent="0.3">
      <c r="B527" s="11">
        <f t="shared" si="9"/>
        <v>525</v>
      </c>
      <c r="C527" s="11">
        <v>89695.118491625864</v>
      </c>
      <c r="D527" s="180">
        <v>89695.118491625864</v>
      </c>
    </row>
    <row r="528" spans="2:4" x14ac:dyDescent="0.3">
      <c r="B528" s="11">
        <f t="shared" si="9"/>
        <v>526</v>
      </c>
      <c r="C528" s="11">
        <v>91282.728589254228</v>
      </c>
      <c r="D528" s="180">
        <v>91282.728589254228</v>
      </c>
    </row>
    <row r="529" spans="2:4" x14ac:dyDescent="0.3">
      <c r="B529" s="11">
        <f t="shared" si="9"/>
        <v>527</v>
      </c>
      <c r="C529" s="11">
        <v>108830.35311768074</v>
      </c>
      <c r="D529" s="180">
        <v>108830.35311768074</v>
      </c>
    </row>
    <row r="530" spans="2:4" x14ac:dyDescent="0.3">
      <c r="B530" s="11">
        <f t="shared" si="9"/>
        <v>528</v>
      </c>
      <c r="C530" s="11">
        <v>98922.656433600714</v>
      </c>
      <c r="D530" s="180">
        <v>98922.656433600714</v>
      </c>
    </row>
    <row r="531" spans="2:4" x14ac:dyDescent="0.3">
      <c r="B531" s="11">
        <f t="shared" si="9"/>
        <v>529</v>
      </c>
      <c r="C531" s="11">
        <v>79759.63293769375</v>
      </c>
      <c r="D531" s="180">
        <v>79759.63293769375</v>
      </c>
    </row>
    <row r="532" spans="2:4" x14ac:dyDescent="0.3">
      <c r="B532" s="11">
        <f t="shared" si="9"/>
        <v>530</v>
      </c>
      <c r="C532" s="11">
        <v>115556.72179695861</v>
      </c>
      <c r="D532" s="180">
        <v>115556.72179695861</v>
      </c>
    </row>
    <row r="533" spans="2:4" x14ac:dyDescent="0.3">
      <c r="B533" s="11">
        <f t="shared" si="9"/>
        <v>531</v>
      </c>
      <c r="C533" s="11">
        <v>115305.57886843268</v>
      </c>
      <c r="D533" s="180">
        <v>115305.57886843268</v>
      </c>
    </row>
    <row r="534" spans="2:4" x14ac:dyDescent="0.3">
      <c r="B534" s="11">
        <f t="shared" si="9"/>
        <v>532</v>
      </c>
      <c r="C534" s="11">
        <v>99750.633990181072</v>
      </c>
      <c r="D534" s="180">
        <v>99750.633990181072</v>
      </c>
    </row>
    <row r="535" spans="2:4" x14ac:dyDescent="0.3">
      <c r="B535" s="11">
        <f t="shared" si="9"/>
        <v>533</v>
      </c>
      <c r="C535" s="11">
        <v>91306.94623631725</v>
      </c>
      <c r="D535" s="180">
        <v>91306.94623631725</v>
      </c>
    </row>
    <row r="536" spans="2:4" x14ac:dyDescent="0.3">
      <c r="B536" s="11">
        <f t="shared" si="9"/>
        <v>534</v>
      </c>
      <c r="C536" s="11">
        <v>72290.178268049203</v>
      </c>
      <c r="D536" s="180">
        <v>72290.178268049203</v>
      </c>
    </row>
    <row r="537" spans="2:4" x14ac:dyDescent="0.3">
      <c r="B537" s="11">
        <f t="shared" si="9"/>
        <v>535</v>
      </c>
      <c r="C537" s="11">
        <v>96941.087841879344</v>
      </c>
      <c r="D537" s="180">
        <v>96941.087841879344</v>
      </c>
    </row>
    <row r="538" spans="2:4" x14ac:dyDescent="0.3">
      <c r="B538" s="11">
        <f t="shared" si="9"/>
        <v>536</v>
      </c>
      <c r="C538" s="11">
        <v>76579.196603799181</v>
      </c>
      <c r="D538" s="180">
        <v>76579.196603799181</v>
      </c>
    </row>
    <row r="539" spans="2:4" x14ac:dyDescent="0.3">
      <c r="B539" s="11">
        <f t="shared" si="9"/>
        <v>537</v>
      </c>
      <c r="C539" s="11">
        <v>100712.703359562</v>
      </c>
      <c r="D539" s="180">
        <v>100712.703359562</v>
      </c>
    </row>
    <row r="540" spans="2:4" x14ac:dyDescent="0.3">
      <c r="B540" s="11">
        <f t="shared" si="9"/>
        <v>538</v>
      </c>
      <c r="C540" s="11">
        <v>91440.457278166112</v>
      </c>
      <c r="D540" s="180">
        <v>91440.457278166112</v>
      </c>
    </row>
    <row r="541" spans="2:4" x14ac:dyDescent="0.3">
      <c r="B541" s="11">
        <f t="shared" si="9"/>
        <v>539</v>
      </c>
      <c r="C541" s="11">
        <v>105002.24254587399</v>
      </c>
      <c r="D541" s="180">
        <v>105002.24254587399</v>
      </c>
    </row>
    <row r="542" spans="2:4" x14ac:dyDescent="0.3">
      <c r="B542" s="11">
        <f t="shared" si="9"/>
        <v>540</v>
      </c>
      <c r="C542" s="11">
        <v>110824.0448912148</v>
      </c>
      <c r="D542" s="180">
        <v>112407.74530129501</v>
      </c>
    </row>
    <row r="543" spans="2:4" x14ac:dyDescent="0.3">
      <c r="B543" s="11">
        <f t="shared" si="9"/>
        <v>541</v>
      </c>
      <c r="C543" s="11">
        <v>90125.258604947347</v>
      </c>
      <c r="D543" s="180">
        <v>90125.258604947347</v>
      </c>
    </row>
    <row r="544" spans="2:4" x14ac:dyDescent="0.3">
      <c r="B544" s="11">
        <f t="shared" si="9"/>
        <v>542</v>
      </c>
      <c r="C544" s="11">
        <v>88171.981703877929</v>
      </c>
      <c r="D544" s="180">
        <v>88171.981703877929</v>
      </c>
    </row>
    <row r="545" spans="2:4" x14ac:dyDescent="0.3">
      <c r="B545" s="11">
        <f t="shared" si="9"/>
        <v>543</v>
      </c>
      <c r="C545" s="11">
        <v>81278.428903441774</v>
      </c>
      <c r="D545" s="180">
        <v>78606.856448816543</v>
      </c>
    </row>
    <row r="546" spans="2:4" x14ac:dyDescent="0.3">
      <c r="B546" s="11">
        <f t="shared" si="9"/>
        <v>544</v>
      </c>
      <c r="C546" s="11">
        <v>81669.345507046979</v>
      </c>
      <c r="D546" s="180">
        <v>81669.345507046979</v>
      </c>
    </row>
    <row r="547" spans="2:4" x14ac:dyDescent="0.3">
      <c r="B547" s="11">
        <f t="shared" si="9"/>
        <v>545</v>
      </c>
      <c r="C547" s="11">
        <v>88926.351620646121</v>
      </c>
      <c r="D547" s="180">
        <v>88926.351620646121</v>
      </c>
    </row>
    <row r="548" spans="2:4" x14ac:dyDescent="0.3">
      <c r="B548" s="11">
        <f t="shared" si="9"/>
        <v>546</v>
      </c>
      <c r="C548" s="11">
        <v>97743.629037675157</v>
      </c>
      <c r="D548" s="180">
        <v>97743.629037675157</v>
      </c>
    </row>
    <row r="549" spans="2:4" x14ac:dyDescent="0.3">
      <c r="B549" s="11">
        <f t="shared" si="9"/>
        <v>547</v>
      </c>
      <c r="C549" s="11">
        <v>129840.13914634701</v>
      </c>
      <c r="D549" s="180">
        <v>129840.13914634701</v>
      </c>
    </row>
    <row r="550" spans="2:4" x14ac:dyDescent="0.3">
      <c r="B550" s="11">
        <f t="shared" si="9"/>
        <v>548</v>
      </c>
      <c r="C550" s="11">
        <v>73419.223032678507</v>
      </c>
      <c r="D550" s="180">
        <v>73419.223032678507</v>
      </c>
    </row>
    <row r="551" spans="2:4" x14ac:dyDescent="0.3">
      <c r="B551" s="11">
        <f t="shared" si="9"/>
        <v>549</v>
      </c>
      <c r="C551" s="11">
        <v>113661.70270645194</v>
      </c>
      <c r="D551" s="180">
        <v>113661.70270645194</v>
      </c>
    </row>
    <row r="552" spans="2:4" x14ac:dyDescent="0.3">
      <c r="B552" s="11">
        <f t="shared" si="9"/>
        <v>550</v>
      </c>
      <c r="C552" s="11">
        <v>115568.81045172055</v>
      </c>
      <c r="D552" s="180">
        <v>115568.81045172055</v>
      </c>
    </row>
    <row r="553" spans="2:4" x14ac:dyDescent="0.3">
      <c r="B553" s="11">
        <f t="shared" si="9"/>
        <v>551</v>
      </c>
      <c r="C553" s="11">
        <v>74015.266310395207</v>
      </c>
      <c r="D553" s="180">
        <v>74015.266310395207</v>
      </c>
    </row>
    <row r="554" spans="2:4" x14ac:dyDescent="0.3">
      <c r="B554" s="11">
        <f t="shared" si="9"/>
        <v>552</v>
      </c>
      <c r="C554" s="11">
        <v>91918.182102074148</v>
      </c>
      <c r="D554" s="180">
        <v>91918.182102074148</v>
      </c>
    </row>
    <row r="555" spans="2:4" x14ac:dyDescent="0.3">
      <c r="B555" s="11">
        <f t="shared" si="9"/>
        <v>553</v>
      </c>
      <c r="C555" s="11">
        <v>79027.015246759664</v>
      </c>
      <c r="D555" s="180">
        <v>79027.015246759664</v>
      </c>
    </row>
    <row r="556" spans="2:4" x14ac:dyDescent="0.3">
      <c r="B556" s="11">
        <f t="shared" si="9"/>
        <v>554</v>
      </c>
      <c r="C556" s="11">
        <v>99808.31658027794</v>
      </c>
      <c r="D556" s="180">
        <v>99808.31658027794</v>
      </c>
    </row>
    <row r="557" spans="2:4" x14ac:dyDescent="0.3">
      <c r="B557" s="11">
        <f t="shared" si="9"/>
        <v>555</v>
      </c>
      <c r="C557" s="11">
        <v>109095.89463687091</v>
      </c>
      <c r="D557" s="180">
        <v>109095.89463687091</v>
      </c>
    </row>
    <row r="558" spans="2:4" x14ac:dyDescent="0.3">
      <c r="B558" s="11">
        <f t="shared" si="9"/>
        <v>556</v>
      </c>
      <c r="C558" s="11">
        <v>104543.84754786734</v>
      </c>
      <c r="D558" s="180">
        <v>104543.84754786734</v>
      </c>
    </row>
    <row r="559" spans="2:4" x14ac:dyDescent="0.3">
      <c r="B559" s="11">
        <f t="shared" si="9"/>
        <v>557</v>
      </c>
      <c r="C559" s="11">
        <v>132236.58526561828</v>
      </c>
      <c r="D559" s="180">
        <v>132236.58526561828</v>
      </c>
    </row>
    <row r="560" spans="2:4" x14ac:dyDescent="0.3">
      <c r="B560" s="11">
        <f t="shared" si="9"/>
        <v>558</v>
      </c>
      <c r="C560" s="11">
        <v>97128.897033477566</v>
      </c>
      <c r="D560" s="180">
        <v>97128.897033477566</v>
      </c>
    </row>
    <row r="561" spans="2:4" x14ac:dyDescent="0.3">
      <c r="B561" s="11">
        <f t="shared" si="9"/>
        <v>559</v>
      </c>
      <c r="C561" s="11">
        <v>90926.288065231551</v>
      </c>
      <c r="D561" s="180">
        <v>90926.288065231551</v>
      </c>
    </row>
    <row r="562" spans="2:4" x14ac:dyDescent="0.3">
      <c r="B562" s="11">
        <f t="shared" si="9"/>
        <v>560</v>
      </c>
      <c r="C562" s="11">
        <v>78792.978340325368</v>
      </c>
      <c r="D562" s="180">
        <v>78792.978340325368</v>
      </c>
    </row>
    <row r="563" spans="2:4" x14ac:dyDescent="0.3">
      <c r="B563" s="11">
        <f t="shared" si="9"/>
        <v>561</v>
      </c>
      <c r="C563" s="11">
        <v>66092.192313324311</v>
      </c>
      <c r="D563" s="180">
        <v>66092.192313324311</v>
      </c>
    </row>
    <row r="564" spans="2:4" x14ac:dyDescent="0.3">
      <c r="B564" s="11">
        <f t="shared" si="9"/>
        <v>562</v>
      </c>
      <c r="C564" s="11">
        <v>93778.856052971591</v>
      </c>
      <c r="D564" s="180">
        <v>93778.856052971591</v>
      </c>
    </row>
    <row r="565" spans="2:4" x14ac:dyDescent="0.3">
      <c r="B565" s="11">
        <f t="shared" si="9"/>
        <v>563</v>
      </c>
      <c r="C565" s="11">
        <v>88361.614289200574</v>
      </c>
      <c r="D565" s="180">
        <v>88361.614289200574</v>
      </c>
    </row>
    <row r="566" spans="2:4" x14ac:dyDescent="0.3">
      <c r="B566" s="11">
        <f t="shared" si="9"/>
        <v>564</v>
      </c>
      <c r="C566" s="11">
        <v>80018.148997042576</v>
      </c>
      <c r="D566" s="180">
        <v>80018.148997042576</v>
      </c>
    </row>
    <row r="567" spans="2:4" x14ac:dyDescent="0.3">
      <c r="B567" s="11">
        <f t="shared" si="9"/>
        <v>565</v>
      </c>
      <c r="C567" s="11">
        <v>105046.95752184805</v>
      </c>
      <c r="D567" s="180">
        <v>105046.95752184805</v>
      </c>
    </row>
    <row r="568" spans="2:4" x14ac:dyDescent="0.3">
      <c r="B568" s="11">
        <f t="shared" si="9"/>
        <v>566</v>
      </c>
      <c r="C568" s="11">
        <v>84274.021697471995</v>
      </c>
      <c r="D568" s="180">
        <v>84274.021697471995</v>
      </c>
    </row>
    <row r="569" spans="2:4" x14ac:dyDescent="0.3">
      <c r="B569" s="11">
        <f t="shared" si="9"/>
        <v>567</v>
      </c>
      <c r="C569" s="11">
        <v>122912.27326918559</v>
      </c>
      <c r="D569" s="180">
        <v>122912.27326918559</v>
      </c>
    </row>
    <row r="570" spans="2:4" x14ac:dyDescent="0.3">
      <c r="B570" s="11">
        <f t="shared" si="9"/>
        <v>568</v>
      </c>
      <c r="C570" s="11">
        <v>97941.712920950071</v>
      </c>
      <c r="D570" s="180">
        <v>97941.712920950071</v>
      </c>
    </row>
    <row r="571" spans="2:4" x14ac:dyDescent="0.3">
      <c r="B571" s="11">
        <f t="shared" si="9"/>
        <v>569</v>
      </c>
      <c r="C571" s="11">
        <v>93437.54529326054</v>
      </c>
      <c r="D571" s="180">
        <v>93437.54529326054</v>
      </c>
    </row>
    <row r="572" spans="2:4" x14ac:dyDescent="0.3">
      <c r="B572" s="11">
        <f t="shared" si="9"/>
        <v>570</v>
      </c>
      <c r="C572" s="11">
        <v>82686.529441870021</v>
      </c>
      <c r="D572" s="180">
        <v>82686.529441870021</v>
      </c>
    </row>
    <row r="573" spans="2:4" x14ac:dyDescent="0.3">
      <c r="B573" s="11">
        <f t="shared" si="9"/>
        <v>571</v>
      </c>
      <c r="C573" s="11">
        <v>78745.488154443388</v>
      </c>
      <c r="D573" s="180">
        <v>78745.488154443388</v>
      </c>
    </row>
    <row r="574" spans="2:4" x14ac:dyDescent="0.3">
      <c r="B574" s="11">
        <f t="shared" si="9"/>
        <v>572</v>
      </c>
      <c r="C574" s="11">
        <v>101972.4900024465</v>
      </c>
      <c r="D574" s="180">
        <v>101972.4900024465</v>
      </c>
    </row>
    <row r="575" spans="2:4" x14ac:dyDescent="0.3">
      <c r="B575" s="11">
        <f t="shared" si="9"/>
        <v>573</v>
      </c>
      <c r="C575" s="11">
        <v>91120.329151162601</v>
      </c>
      <c r="D575" s="180">
        <v>91120.329151162601</v>
      </c>
    </row>
    <row r="576" spans="2:4" x14ac:dyDescent="0.3">
      <c r="B576" s="11">
        <f t="shared" si="9"/>
        <v>574</v>
      </c>
      <c r="C576" s="11">
        <v>121467.18803764097</v>
      </c>
      <c r="D576" s="180">
        <v>121467.18803764097</v>
      </c>
    </row>
    <row r="577" spans="2:4" x14ac:dyDescent="0.3">
      <c r="B577" s="11">
        <f t="shared" si="9"/>
        <v>575</v>
      </c>
      <c r="C577" s="11">
        <v>65062.099298980131</v>
      </c>
      <c r="D577" s="180">
        <v>65062.099298980131</v>
      </c>
    </row>
    <row r="578" spans="2:4" x14ac:dyDescent="0.3">
      <c r="B578" s="11">
        <f t="shared" si="9"/>
        <v>576</v>
      </c>
      <c r="C578" s="11">
        <v>79257.232989752825</v>
      </c>
      <c r="D578" s="180">
        <v>77551.387786180916</v>
      </c>
    </row>
    <row r="579" spans="2:4" x14ac:dyDescent="0.3">
      <c r="B579" s="11">
        <f t="shared" si="9"/>
        <v>577</v>
      </c>
      <c r="C579" s="11">
        <v>100415.35557450706</v>
      </c>
      <c r="D579" s="180">
        <v>100415.35557450706</v>
      </c>
    </row>
    <row r="580" spans="2:4" x14ac:dyDescent="0.3">
      <c r="B580" s="11">
        <f t="shared" si="9"/>
        <v>578</v>
      </c>
      <c r="C580" s="11">
        <v>116392.12774292349</v>
      </c>
      <c r="D580" s="180">
        <v>116392.12774292349</v>
      </c>
    </row>
    <row r="581" spans="2:4" x14ac:dyDescent="0.3">
      <c r="B581" s="11">
        <f t="shared" ref="B581:B644" si="10">B580+1</f>
        <v>579</v>
      </c>
      <c r="C581" s="11">
        <v>68485.224126412038</v>
      </c>
      <c r="D581" s="180">
        <v>66354.681903230288</v>
      </c>
    </row>
    <row r="582" spans="2:4" x14ac:dyDescent="0.3">
      <c r="B582" s="11">
        <f t="shared" si="10"/>
        <v>580</v>
      </c>
      <c r="C582" s="11">
        <v>100531.17931901527</v>
      </c>
      <c r="D582" s="180">
        <v>100531.17931901527</v>
      </c>
    </row>
    <row r="583" spans="2:4" x14ac:dyDescent="0.3">
      <c r="B583" s="11">
        <f t="shared" si="10"/>
        <v>581</v>
      </c>
      <c r="C583" s="11">
        <v>106500.53171989875</v>
      </c>
      <c r="D583" s="180">
        <v>106500.53171989875</v>
      </c>
    </row>
    <row r="584" spans="2:4" x14ac:dyDescent="0.3">
      <c r="B584" s="11">
        <f t="shared" si="10"/>
        <v>582</v>
      </c>
      <c r="C584" s="11">
        <v>84501.177967970711</v>
      </c>
      <c r="D584" s="180">
        <v>84501.177967970711</v>
      </c>
    </row>
    <row r="585" spans="2:4" x14ac:dyDescent="0.3">
      <c r="B585" s="11">
        <f t="shared" si="10"/>
        <v>583</v>
      </c>
      <c r="C585" s="11">
        <v>92822.135279813447</v>
      </c>
      <c r="D585" s="180">
        <v>92822.135279813447</v>
      </c>
    </row>
    <row r="586" spans="2:4" x14ac:dyDescent="0.3">
      <c r="B586" s="11">
        <f t="shared" si="10"/>
        <v>584</v>
      </c>
      <c r="C586" s="11">
        <v>122734.65509984754</v>
      </c>
      <c r="D586" s="180">
        <v>124134.41551596567</v>
      </c>
    </row>
    <row r="587" spans="2:4" x14ac:dyDescent="0.3">
      <c r="B587" s="11">
        <f t="shared" si="10"/>
        <v>585</v>
      </c>
      <c r="C587" s="11">
        <v>124964.28979522592</v>
      </c>
      <c r="D587" s="180">
        <v>124964.28979522592</v>
      </c>
    </row>
    <row r="588" spans="2:4" x14ac:dyDescent="0.3">
      <c r="B588" s="11">
        <f t="shared" si="10"/>
        <v>586</v>
      </c>
      <c r="C588" s="11">
        <v>130510.28144745817</v>
      </c>
      <c r="D588" s="180">
        <v>130510.28144745817</v>
      </c>
    </row>
    <row r="589" spans="2:4" x14ac:dyDescent="0.3">
      <c r="B589" s="11">
        <f t="shared" si="10"/>
        <v>587</v>
      </c>
      <c r="C589" s="11">
        <v>94180.766948024946</v>
      </c>
      <c r="D589" s="180">
        <v>91581.723662656019</v>
      </c>
    </row>
    <row r="590" spans="2:4" x14ac:dyDescent="0.3">
      <c r="B590" s="11">
        <f t="shared" si="10"/>
        <v>588</v>
      </c>
      <c r="C590" s="11">
        <v>73829.646008026815</v>
      </c>
      <c r="D590" s="180">
        <v>73829.646008026815</v>
      </c>
    </row>
    <row r="591" spans="2:4" x14ac:dyDescent="0.3">
      <c r="B591" s="11">
        <f t="shared" si="10"/>
        <v>589</v>
      </c>
      <c r="C591" s="11">
        <v>88148.139905096948</v>
      </c>
      <c r="D591" s="180">
        <v>88148.139905096948</v>
      </c>
    </row>
    <row r="592" spans="2:4" x14ac:dyDescent="0.3">
      <c r="B592" s="11">
        <f t="shared" si="10"/>
        <v>590</v>
      </c>
      <c r="C592" s="11">
        <v>86714.690091550379</v>
      </c>
      <c r="D592" s="180">
        <v>86714.690091550379</v>
      </c>
    </row>
    <row r="593" spans="2:4" x14ac:dyDescent="0.3">
      <c r="B593" s="11">
        <f t="shared" si="10"/>
        <v>591</v>
      </c>
      <c r="C593" s="11">
        <v>101391.29726472881</v>
      </c>
      <c r="D593" s="180">
        <v>101391.29726472881</v>
      </c>
    </row>
    <row r="594" spans="2:4" x14ac:dyDescent="0.3">
      <c r="B594" s="11">
        <f t="shared" si="10"/>
        <v>592</v>
      </c>
      <c r="C594" s="11">
        <v>75708.221710583166</v>
      </c>
      <c r="D594" s="180">
        <v>75708.221710583166</v>
      </c>
    </row>
    <row r="595" spans="2:4" x14ac:dyDescent="0.3">
      <c r="B595" s="11">
        <f t="shared" si="10"/>
        <v>593</v>
      </c>
      <c r="C595" s="11">
        <v>64540.985267553813</v>
      </c>
      <c r="D595" s="180">
        <v>61927.335045087966</v>
      </c>
    </row>
    <row r="596" spans="2:4" x14ac:dyDescent="0.3">
      <c r="B596" s="11">
        <f t="shared" si="10"/>
        <v>594</v>
      </c>
      <c r="C596" s="11">
        <v>85974.057598579791</v>
      </c>
      <c r="D596" s="180">
        <v>85974.057598579791</v>
      </c>
    </row>
    <row r="597" spans="2:4" x14ac:dyDescent="0.3">
      <c r="B597" s="11">
        <f t="shared" si="10"/>
        <v>595</v>
      </c>
      <c r="C597" s="11">
        <v>103718.77116620526</v>
      </c>
      <c r="D597" s="180">
        <v>105042.32715464209</v>
      </c>
    </row>
    <row r="598" spans="2:4" x14ac:dyDescent="0.3">
      <c r="B598" s="11">
        <f t="shared" si="10"/>
        <v>596</v>
      </c>
      <c r="C598" s="11">
        <v>92717.742606302971</v>
      </c>
      <c r="D598" s="180">
        <v>92717.742606302971</v>
      </c>
    </row>
    <row r="599" spans="2:4" x14ac:dyDescent="0.3">
      <c r="B599" s="11">
        <f t="shared" si="10"/>
        <v>597</v>
      </c>
      <c r="C599" s="11">
        <v>101810.40322199582</v>
      </c>
      <c r="D599" s="180">
        <v>101810.40322199582</v>
      </c>
    </row>
    <row r="600" spans="2:4" x14ac:dyDescent="0.3">
      <c r="B600" s="11">
        <f t="shared" si="10"/>
        <v>598</v>
      </c>
      <c r="C600" s="11">
        <v>107214.30885199411</v>
      </c>
      <c r="D600" s="180">
        <v>107214.30885199411</v>
      </c>
    </row>
    <row r="601" spans="2:4" x14ac:dyDescent="0.3">
      <c r="B601" s="11">
        <f t="shared" si="10"/>
        <v>599</v>
      </c>
      <c r="C601" s="11">
        <v>95700.852551855322</v>
      </c>
      <c r="D601" s="180">
        <v>95700.852551855322</v>
      </c>
    </row>
    <row r="602" spans="2:4" x14ac:dyDescent="0.3">
      <c r="B602" s="11">
        <f t="shared" si="10"/>
        <v>600</v>
      </c>
      <c r="C602" s="11">
        <v>94556.825545889369</v>
      </c>
      <c r="D602" s="180">
        <v>94556.825545889369</v>
      </c>
    </row>
    <row r="603" spans="2:4" x14ac:dyDescent="0.3">
      <c r="B603" s="11">
        <f t="shared" si="10"/>
        <v>601</v>
      </c>
      <c r="C603" s="11">
        <v>88992.112945261892</v>
      </c>
      <c r="D603" s="180">
        <v>88992.112945261892</v>
      </c>
    </row>
    <row r="604" spans="2:4" x14ac:dyDescent="0.3">
      <c r="B604" s="11">
        <f t="shared" si="10"/>
        <v>602</v>
      </c>
      <c r="C604" s="11">
        <v>112887.82788326259</v>
      </c>
      <c r="D604" s="180">
        <v>116290.31631522374</v>
      </c>
    </row>
    <row r="605" spans="2:4" x14ac:dyDescent="0.3">
      <c r="B605" s="11">
        <f t="shared" si="10"/>
        <v>603</v>
      </c>
      <c r="C605" s="11">
        <v>84212.913206146943</v>
      </c>
      <c r="D605" s="180">
        <v>84212.913206146943</v>
      </c>
    </row>
    <row r="606" spans="2:4" x14ac:dyDescent="0.3">
      <c r="B606" s="11">
        <f t="shared" si="10"/>
        <v>604</v>
      </c>
      <c r="C606" s="11">
        <v>86252.29131998602</v>
      </c>
      <c r="D606" s="180">
        <v>86252.29131998602</v>
      </c>
    </row>
    <row r="607" spans="2:4" x14ac:dyDescent="0.3">
      <c r="B607" s="11">
        <f t="shared" si="10"/>
        <v>605</v>
      </c>
      <c r="C607" s="11">
        <v>75299.454334323687</v>
      </c>
      <c r="D607" s="180">
        <v>75299.454334323687</v>
      </c>
    </row>
    <row r="608" spans="2:4" x14ac:dyDescent="0.3">
      <c r="B608" s="11">
        <f t="shared" si="10"/>
        <v>606</v>
      </c>
      <c r="C608" s="11">
        <v>95370.13382147238</v>
      </c>
      <c r="D608" s="180">
        <v>95370.13382147238</v>
      </c>
    </row>
    <row r="609" spans="2:4" x14ac:dyDescent="0.3">
      <c r="B609" s="11">
        <f t="shared" si="10"/>
        <v>607</v>
      </c>
      <c r="C609" s="11">
        <v>79764.798981263739</v>
      </c>
      <c r="D609" s="180">
        <v>75341.136187957469</v>
      </c>
    </row>
    <row r="610" spans="2:4" x14ac:dyDescent="0.3">
      <c r="B610" s="11">
        <f t="shared" si="10"/>
        <v>608</v>
      </c>
      <c r="C610" s="11">
        <v>114804.42496387244</v>
      </c>
      <c r="D610" s="180">
        <v>114804.42496387244</v>
      </c>
    </row>
    <row r="611" spans="2:4" x14ac:dyDescent="0.3">
      <c r="B611" s="11">
        <f t="shared" si="10"/>
        <v>609</v>
      </c>
      <c r="C611" s="11">
        <v>88719.613540894439</v>
      </c>
      <c r="D611" s="180">
        <v>88719.613540894439</v>
      </c>
    </row>
    <row r="612" spans="2:4" x14ac:dyDescent="0.3">
      <c r="B612" s="11">
        <f t="shared" si="10"/>
        <v>610</v>
      </c>
      <c r="C612" s="11">
        <v>98356.097946970767</v>
      </c>
      <c r="D612" s="180">
        <v>98356.097946970767</v>
      </c>
    </row>
    <row r="613" spans="2:4" x14ac:dyDescent="0.3">
      <c r="B613" s="11">
        <f t="shared" si="10"/>
        <v>611</v>
      </c>
      <c r="C613" s="11">
        <v>82354.022580411212</v>
      </c>
      <c r="D613" s="180">
        <v>82354.022580411212</v>
      </c>
    </row>
    <row r="614" spans="2:4" x14ac:dyDescent="0.3">
      <c r="B614" s="11">
        <f t="shared" si="10"/>
        <v>612</v>
      </c>
      <c r="C614" s="11">
        <v>78777.060428490106</v>
      </c>
      <c r="D614" s="180">
        <v>78777.060428490106</v>
      </c>
    </row>
    <row r="615" spans="2:4" x14ac:dyDescent="0.3">
      <c r="B615" s="11">
        <f t="shared" si="10"/>
        <v>613</v>
      </c>
      <c r="C615" s="11">
        <v>95180.320225804622</v>
      </c>
      <c r="D615" s="180">
        <v>95180.320225804622</v>
      </c>
    </row>
    <row r="616" spans="2:4" x14ac:dyDescent="0.3">
      <c r="B616" s="11">
        <f t="shared" si="10"/>
        <v>614</v>
      </c>
      <c r="C616" s="11">
        <v>100135.33451185803</v>
      </c>
      <c r="D616" s="180">
        <v>100135.33451185803</v>
      </c>
    </row>
    <row r="617" spans="2:4" x14ac:dyDescent="0.3">
      <c r="B617" s="11">
        <f t="shared" si="10"/>
        <v>615</v>
      </c>
      <c r="C617" s="11">
        <v>85642.72762731745</v>
      </c>
      <c r="D617" s="180">
        <v>85642.72762731745</v>
      </c>
    </row>
    <row r="618" spans="2:4" x14ac:dyDescent="0.3">
      <c r="B618" s="11">
        <f t="shared" si="10"/>
        <v>616</v>
      </c>
      <c r="C618" s="11">
        <v>106544.75716026363</v>
      </c>
      <c r="D618" s="180">
        <v>106544.75716026363</v>
      </c>
    </row>
    <row r="619" spans="2:4" x14ac:dyDescent="0.3">
      <c r="B619" s="11">
        <f t="shared" si="10"/>
        <v>617</v>
      </c>
      <c r="C619" s="11">
        <v>72576.216707172003</v>
      </c>
      <c r="D619" s="180">
        <v>72576.216707172003</v>
      </c>
    </row>
    <row r="620" spans="2:4" x14ac:dyDescent="0.3">
      <c r="B620" s="11">
        <f t="shared" si="10"/>
        <v>618</v>
      </c>
      <c r="C620" s="11">
        <v>98057.261780893896</v>
      </c>
      <c r="D620" s="180">
        <v>98057.261780893896</v>
      </c>
    </row>
    <row r="621" spans="2:4" x14ac:dyDescent="0.3">
      <c r="B621" s="11">
        <f t="shared" si="10"/>
        <v>619</v>
      </c>
      <c r="C621" s="11">
        <v>81490.011653755617</v>
      </c>
      <c r="D621" s="180">
        <v>81490.011653755617</v>
      </c>
    </row>
    <row r="622" spans="2:4" x14ac:dyDescent="0.3">
      <c r="B622" s="11">
        <f t="shared" si="10"/>
        <v>620</v>
      </c>
      <c r="C622" s="11">
        <v>122051.18444259981</v>
      </c>
      <c r="D622" s="180">
        <v>123901.47623114896</v>
      </c>
    </row>
    <row r="623" spans="2:4" x14ac:dyDescent="0.3">
      <c r="B623" s="11">
        <f t="shared" si="10"/>
        <v>621</v>
      </c>
      <c r="C623" s="11">
        <v>99833.43961258755</v>
      </c>
      <c r="D623" s="180">
        <v>99833.43961258755</v>
      </c>
    </row>
    <row r="624" spans="2:4" x14ac:dyDescent="0.3">
      <c r="B624" s="11">
        <f t="shared" si="10"/>
        <v>622</v>
      </c>
      <c r="C624" s="11">
        <v>106676.8464844468</v>
      </c>
      <c r="D624" s="180">
        <v>109140.82353901396</v>
      </c>
    </row>
    <row r="625" spans="2:4" x14ac:dyDescent="0.3">
      <c r="B625" s="11">
        <f t="shared" si="10"/>
        <v>623</v>
      </c>
      <c r="C625" s="11">
        <v>69228.727920040852</v>
      </c>
      <c r="D625" s="180">
        <v>69228.727920040852</v>
      </c>
    </row>
    <row r="626" spans="2:4" x14ac:dyDescent="0.3">
      <c r="B626" s="11">
        <f t="shared" si="10"/>
        <v>624</v>
      </c>
      <c r="C626" s="11">
        <v>75783.251948498</v>
      </c>
      <c r="D626" s="180">
        <v>75783.251948498</v>
      </c>
    </row>
    <row r="627" spans="2:4" x14ac:dyDescent="0.3">
      <c r="B627" s="11">
        <f t="shared" si="10"/>
        <v>625</v>
      </c>
      <c r="C627" s="11">
        <v>83509.498724517194</v>
      </c>
      <c r="D627" s="180">
        <v>83509.498724517194</v>
      </c>
    </row>
    <row r="628" spans="2:4" x14ac:dyDescent="0.3">
      <c r="B628" s="11">
        <f t="shared" si="10"/>
        <v>626</v>
      </c>
      <c r="C628" s="11">
        <v>83735.538742514196</v>
      </c>
      <c r="D628" s="180">
        <v>83735.538742514196</v>
      </c>
    </row>
    <row r="629" spans="2:4" x14ac:dyDescent="0.3">
      <c r="B629" s="11">
        <f t="shared" si="10"/>
        <v>627</v>
      </c>
      <c r="C629" s="11">
        <v>97276.843918008584</v>
      </c>
      <c r="D629" s="180">
        <v>97276.843918008584</v>
      </c>
    </row>
    <row r="630" spans="2:4" x14ac:dyDescent="0.3">
      <c r="B630" s="11">
        <f t="shared" si="10"/>
        <v>628</v>
      </c>
      <c r="C630" s="11">
        <v>112413.52689305277</v>
      </c>
      <c r="D630" s="180">
        <v>113891.63109582022</v>
      </c>
    </row>
    <row r="631" spans="2:4" x14ac:dyDescent="0.3">
      <c r="B631" s="11">
        <f t="shared" si="10"/>
        <v>629</v>
      </c>
      <c r="C631" s="11">
        <v>120851.69890424308</v>
      </c>
      <c r="D631" s="180">
        <v>120851.69890424308</v>
      </c>
    </row>
    <row r="632" spans="2:4" x14ac:dyDescent="0.3">
      <c r="B632" s="11">
        <f t="shared" si="10"/>
        <v>630</v>
      </c>
      <c r="C632" s="11">
        <v>120301.46742680615</v>
      </c>
      <c r="D632" s="180">
        <v>120301.46742680615</v>
      </c>
    </row>
    <row r="633" spans="2:4" x14ac:dyDescent="0.3">
      <c r="B633" s="11">
        <f t="shared" si="10"/>
        <v>631</v>
      </c>
      <c r="C633" s="11">
        <v>98845.900268472178</v>
      </c>
      <c r="D633" s="180">
        <v>100859.01936191703</v>
      </c>
    </row>
    <row r="634" spans="2:4" x14ac:dyDescent="0.3">
      <c r="B634" s="11">
        <f t="shared" si="10"/>
        <v>632</v>
      </c>
      <c r="C634" s="11">
        <v>106769.02212235396</v>
      </c>
      <c r="D634" s="180">
        <v>106769.02212235396</v>
      </c>
    </row>
    <row r="635" spans="2:4" x14ac:dyDescent="0.3">
      <c r="B635" s="11">
        <f t="shared" si="10"/>
        <v>633</v>
      </c>
      <c r="C635" s="11">
        <v>110198.63756166995</v>
      </c>
      <c r="D635" s="180">
        <v>110198.63756166995</v>
      </c>
    </row>
    <row r="636" spans="2:4" x14ac:dyDescent="0.3">
      <c r="B636" s="11">
        <f t="shared" si="10"/>
        <v>634</v>
      </c>
      <c r="C636" s="11">
        <v>94949.021977751894</v>
      </c>
      <c r="D636" s="180">
        <v>94949.021977751894</v>
      </c>
    </row>
    <row r="637" spans="2:4" x14ac:dyDescent="0.3">
      <c r="B637" s="11">
        <f t="shared" si="10"/>
        <v>635</v>
      </c>
      <c r="C637" s="11">
        <v>73667.288956179531</v>
      </c>
      <c r="D637" s="180">
        <v>73667.288956179531</v>
      </c>
    </row>
    <row r="638" spans="2:4" x14ac:dyDescent="0.3">
      <c r="B638" s="11">
        <f t="shared" si="10"/>
        <v>636</v>
      </c>
      <c r="C638" s="11">
        <v>100392.39202704724</v>
      </c>
      <c r="D638" s="180">
        <v>100392.39202704724</v>
      </c>
    </row>
    <row r="639" spans="2:4" x14ac:dyDescent="0.3">
      <c r="B639" s="11">
        <f t="shared" si="10"/>
        <v>637</v>
      </c>
      <c r="C639" s="11">
        <v>85414.044613656064</v>
      </c>
      <c r="D639" s="180">
        <v>85414.044613656064</v>
      </c>
    </row>
    <row r="640" spans="2:4" x14ac:dyDescent="0.3">
      <c r="B640" s="11">
        <f t="shared" si="10"/>
        <v>638</v>
      </c>
      <c r="C640" s="11">
        <v>79555.220248250029</v>
      </c>
      <c r="D640" s="180">
        <v>79555.220248250029</v>
      </c>
    </row>
    <row r="641" spans="2:4" x14ac:dyDescent="0.3">
      <c r="B641" s="11">
        <f t="shared" si="10"/>
        <v>639</v>
      </c>
      <c r="C641" s="11">
        <v>99549.714574336846</v>
      </c>
      <c r="D641" s="180">
        <v>99549.714574336846</v>
      </c>
    </row>
    <row r="642" spans="2:4" x14ac:dyDescent="0.3">
      <c r="B642" s="11">
        <f t="shared" si="10"/>
        <v>640</v>
      </c>
      <c r="C642" s="11">
        <v>117560.57754380521</v>
      </c>
      <c r="D642" s="180">
        <v>119312.93352370567</v>
      </c>
    </row>
    <row r="643" spans="2:4" x14ac:dyDescent="0.3">
      <c r="B643" s="11">
        <f t="shared" si="10"/>
        <v>641</v>
      </c>
      <c r="C643" s="11">
        <v>122842.06102659932</v>
      </c>
      <c r="D643" s="180">
        <v>122842.06102659932</v>
      </c>
    </row>
    <row r="644" spans="2:4" x14ac:dyDescent="0.3">
      <c r="B644" s="11">
        <f t="shared" si="10"/>
        <v>642</v>
      </c>
      <c r="C644" s="11">
        <v>95788.021398730198</v>
      </c>
      <c r="D644" s="180">
        <v>95788.021398730198</v>
      </c>
    </row>
    <row r="645" spans="2:4" x14ac:dyDescent="0.3">
      <c r="B645" s="11">
        <f t="shared" ref="B645:B708" si="11">B644+1</f>
        <v>643</v>
      </c>
      <c r="C645" s="11">
        <v>94693.293962317504</v>
      </c>
      <c r="D645" s="180">
        <v>94693.293962317504</v>
      </c>
    </row>
    <row r="646" spans="2:4" x14ac:dyDescent="0.3">
      <c r="B646" s="11">
        <f t="shared" si="11"/>
        <v>644</v>
      </c>
      <c r="C646" s="11">
        <v>86181.332237071838</v>
      </c>
      <c r="D646" s="180">
        <v>86181.332237071838</v>
      </c>
    </row>
    <row r="647" spans="2:4" x14ac:dyDescent="0.3">
      <c r="B647" s="11">
        <f t="shared" si="11"/>
        <v>645</v>
      </c>
      <c r="C647" s="11">
        <v>91643.410594830217</v>
      </c>
      <c r="D647" s="180">
        <v>91643.410594830217</v>
      </c>
    </row>
    <row r="648" spans="2:4" x14ac:dyDescent="0.3">
      <c r="B648" s="11">
        <f t="shared" si="11"/>
        <v>646</v>
      </c>
      <c r="C648" s="11">
        <v>87227.188066239789</v>
      </c>
      <c r="D648" s="180">
        <v>87227.188066239789</v>
      </c>
    </row>
    <row r="649" spans="2:4" x14ac:dyDescent="0.3">
      <c r="B649" s="11">
        <f t="shared" si="11"/>
        <v>647</v>
      </c>
      <c r="C649" s="11">
        <v>89808.213847887717</v>
      </c>
      <c r="D649" s="180">
        <v>89808.213847887717</v>
      </c>
    </row>
    <row r="650" spans="2:4" x14ac:dyDescent="0.3">
      <c r="B650" s="11">
        <f t="shared" si="11"/>
        <v>648</v>
      </c>
      <c r="C650" s="11">
        <v>123182.6302420939</v>
      </c>
      <c r="D650" s="180">
        <v>128221.79391020918</v>
      </c>
    </row>
    <row r="651" spans="2:4" x14ac:dyDescent="0.3">
      <c r="B651" s="11">
        <f t="shared" si="11"/>
        <v>649</v>
      </c>
      <c r="C651" s="11">
        <v>95756.84200757221</v>
      </c>
      <c r="D651" s="180">
        <v>95756.84200757221</v>
      </c>
    </row>
    <row r="652" spans="2:4" x14ac:dyDescent="0.3">
      <c r="B652" s="11">
        <f t="shared" si="11"/>
        <v>650</v>
      </c>
      <c r="C652" s="11">
        <v>97436.593061951295</v>
      </c>
      <c r="D652" s="180">
        <v>97436.593061951295</v>
      </c>
    </row>
    <row r="653" spans="2:4" x14ac:dyDescent="0.3">
      <c r="B653" s="11">
        <f t="shared" si="11"/>
        <v>651</v>
      </c>
      <c r="C653" s="11">
        <v>78265.183032202069</v>
      </c>
      <c r="D653" s="180">
        <v>78265.183032202069</v>
      </c>
    </row>
    <row r="654" spans="2:4" x14ac:dyDescent="0.3">
      <c r="B654" s="11">
        <f t="shared" si="11"/>
        <v>652</v>
      </c>
      <c r="C654" s="11">
        <v>106560.18515424285</v>
      </c>
      <c r="D654" s="180">
        <v>106560.18515424285</v>
      </c>
    </row>
    <row r="655" spans="2:4" x14ac:dyDescent="0.3">
      <c r="B655" s="11">
        <f t="shared" si="11"/>
        <v>653</v>
      </c>
      <c r="C655" s="11">
        <v>116825.12120943406</v>
      </c>
      <c r="D655" s="180">
        <v>116825.12120943406</v>
      </c>
    </row>
    <row r="656" spans="2:4" x14ac:dyDescent="0.3">
      <c r="B656" s="11">
        <f t="shared" si="11"/>
        <v>654</v>
      </c>
      <c r="C656" s="11">
        <v>97056.073820496298</v>
      </c>
      <c r="D656" s="180">
        <v>97056.073820496298</v>
      </c>
    </row>
    <row r="657" spans="2:4" x14ac:dyDescent="0.3">
      <c r="B657" s="11">
        <f t="shared" si="11"/>
        <v>655</v>
      </c>
      <c r="C657" s="11">
        <v>77303.239827474172</v>
      </c>
      <c r="D657" s="180">
        <v>77303.239827474172</v>
      </c>
    </row>
    <row r="658" spans="2:4" x14ac:dyDescent="0.3">
      <c r="B658" s="11">
        <f t="shared" si="11"/>
        <v>656</v>
      </c>
      <c r="C658" s="11">
        <v>66924.395630449653</v>
      </c>
      <c r="D658" s="180">
        <v>66924.395630449653</v>
      </c>
    </row>
    <row r="659" spans="2:4" x14ac:dyDescent="0.3">
      <c r="B659" s="11">
        <f t="shared" si="11"/>
        <v>657</v>
      </c>
      <c r="C659" s="11">
        <v>85156.474777051655</v>
      </c>
      <c r="D659" s="180">
        <v>83162.820649791567</v>
      </c>
    </row>
    <row r="660" spans="2:4" x14ac:dyDescent="0.3">
      <c r="B660" s="11">
        <f t="shared" si="11"/>
        <v>658</v>
      </c>
      <c r="C660" s="11">
        <v>89437.947263101232</v>
      </c>
      <c r="D660" s="180">
        <v>89437.947263101232</v>
      </c>
    </row>
    <row r="661" spans="2:4" x14ac:dyDescent="0.3">
      <c r="B661" s="11">
        <f t="shared" si="11"/>
        <v>659</v>
      </c>
      <c r="C661" s="11">
        <v>90057.013175959379</v>
      </c>
      <c r="D661" s="180">
        <v>90057.013175959379</v>
      </c>
    </row>
    <row r="662" spans="2:4" x14ac:dyDescent="0.3">
      <c r="B662" s="11">
        <f t="shared" si="11"/>
        <v>660</v>
      </c>
      <c r="C662" s="11">
        <v>107545.9970135912</v>
      </c>
      <c r="D662" s="180">
        <v>107545.9970135912</v>
      </c>
    </row>
    <row r="663" spans="2:4" x14ac:dyDescent="0.3">
      <c r="B663" s="11">
        <f t="shared" si="11"/>
        <v>661</v>
      </c>
      <c r="C663" s="11">
        <v>74955.144822549526</v>
      </c>
      <c r="D663" s="180">
        <v>72889.440208024243</v>
      </c>
    </row>
    <row r="664" spans="2:4" x14ac:dyDescent="0.3">
      <c r="B664" s="11">
        <f t="shared" si="11"/>
        <v>662</v>
      </c>
      <c r="C664" s="11">
        <v>122501.18772620136</v>
      </c>
      <c r="D664" s="180">
        <v>124458.50834635035</v>
      </c>
    </row>
    <row r="665" spans="2:4" x14ac:dyDescent="0.3">
      <c r="B665" s="11">
        <f t="shared" si="11"/>
        <v>663</v>
      </c>
      <c r="C665" s="11">
        <v>99419.666849926085</v>
      </c>
      <c r="D665" s="180">
        <v>99419.666849926085</v>
      </c>
    </row>
    <row r="666" spans="2:4" x14ac:dyDescent="0.3">
      <c r="B666" s="11">
        <f t="shared" si="11"/>
        <v>664</v>
      </c>
      <c r="C666" s="11">
        <v>102927.18694270935</v>
      </c>
      <c r="D666" s="180">
        <v>102927.18694270935</v>
      </c>
    </row>
    <row r="667" spans="2:4" x14ac:dyDescent="0.3">
      <c r="B667" s="11">
        <f t="shared" si="11"/>
        <v>665</v>
      </c>
      <c r="C667" s="11">
        <v>106404.93970629688</v>
      </c>
      <c r="D667" s="180">
        <v>108968.12140041555</v>
      </c>
    </row>
    <row r="668" spans="2:4" x14ac:dyDescent="0.3">
      <c r="B668" s="11">
        <f t="shared" si="11"/>
        <v>666</v>
      </c>
      <c r="C668" s="11">
        <v>97719.319763434847</v>
      </c>
      <c r="D668" s="180">
        <v>97719.319763434847</v>
      </c>
    </row>
    <row r="669" spans="2:4" x14ac:dyDescent="0.3">
      <c r="B669" s="11">
        <f t="shared" si="11"/>
        <v>667</v>
      </c>
      <c r="C669" s="11">
        <v>106558.50548468702</v>
      </c>
      <c r="D669" s="180">
        <v>106558.50548468702</v>
      </c>
    </row>
    <row r="670" spans="2:4" x14ac:dyDescent="0.3">
      <c r="B670" s="11">
        <f t="shared" si="11"/>
        <v>668</v>
      </c>
      <c r="C670" s="11">
        <v>66773.944934764979</v>
      </c>
      <c r="D670" s="180">
        <v>66773.944934764979</v>
      </c>
    </row>
    <row r="671" spans="2:4" x14ac:dyDescent="0.3">
      <c r="B671" s="11">
        <f t="shared" si="11"/>
        <v>669</v>
      </c>
      <c r="C671" s="11">
        <v>80737.867433985884</v>
      </c>
      <c r="D671" s="180">
        <v>80737.867433985884</v>
      </c>
    </row>
    <row r="672" spans="2:4" x14ac:dyDescent="0.3">
      <c r="B672" s="11">
        <f t="shared" si="11"/>
        <v>670</v>
      </c>
      <c r="C672" s="11">
        <v>89216.035750234936</v>
      </c>
      <c r="D672" s="180">
        <v>89216.035750234936</v>
      </c>
    </row>
    <row r="673" spans="2:4" x14ac:dyDescent="0.3">
      <c r="B673" s="11">
        <f t="shared" si="11"/>
        <v>671</v>
      </c>
      <c r="C673" s="11">
        <v>97024.332747038658</v>
      </c>
      <c r="D673" s="180">
        <v>97024.332747038658</v>
      </c>
    </row>
    <row r="674" spans="2:4" x14ac:dyDescent="0.3">
      <c r="B674" s="11">
        <f t="shared" si="11"/>
        <v>672</v>
      </c>
      <c r="C674" s="11">
        <v>128051.98883826335</v>
      </c>
      <c r="D674" s="180">
        <v>128051.98883826335</v>
      </c>
    </row>
    <row r="675" spans="2:4" x14ac:dyDescent="0.3">
      <c r="B675" s="11">
        <f t="shared" si="11"/>
        <v>673</v>
      </c>
      <c r="C675" s="11">
        <v>80288.33289964938</v>
      </c>
      <c r="D675" s="180">
        <v>80288.33289964938</v>
      </c>
    </row>
    <row r="676" spans="2:4" x14ac:dyDescent="0.3">
      <c r="B676" s="11">
        <f t="shared" si="11"/>
        <v>674</v>
      </c>
      <c r="C676" s="11">
        <v>85978.806194580276</v>
      </c>
      <c r="D676" s="180">
        <v>85978.806194580276</v>
      </c>
    </row>
    <row r="677" spans="2:4" x14ac:dyDescent="0.3">
      <c r="B677" s="11">
        <f t="shared" si="11"/>
        <v>675</v>
      </c>
      <c r="C677" s="11">
        <v>90369.399560336213</v>
      </c>
      <c r="D677" s="180">
        <v>90369.399560336213</v>
      </c>
    </row>
    <row r="678" spans="2:4" x14ac:dyDescent="0.3">
      <c r="B678" s="11">
        <f t="shared" si="11"/>
        <v>676</v>
      </c>
      <c r="C678" s="11">
        <v>70128.934258238121</v>
      </c>
      <c r="D678" s="180">
        <v>70128.934258238121</v>
      </c>
    </row>
    <row r="679" spans="2:4" x14ac:dyDescent="0.3">
      <c r="B679" s="11">
        <f t="shared" si="11"/>
        <v>677</v>
      </c>
      <c r="C679" s="11">
        <v>122113.4545364212</v>
      </c>
      <c r="D679" s="180">
        <v>122113.4545364212</v>
      </c>
    </row>
    <row r="680" spans="2:4" x14ac:dyDescent="0.3">
      <c r="B680" s="11">
        <f t="shared" si="11"/>
        <v>678</v>
      </c>
      <c r="C680" s="11">
        <v>127526.49330278787</v>
      </c>
      <c r="D680" s="180">
        <v>127526.49330278787</v>
      </c>
    </row>
    <row r="681" spans="2:4" x14ac:dyDescent="0.3">
      <c r="B681" s="11">
        <f t="shared" si="11"/>
        <v>679</v>
      </c>
      <c r="C681" s="11">
        <v>62882.455879312802</v>
      </c>
      <c r="D681" s="180">
        <v>60042.780667737316</v>
      </c>
    </row>
    <row r="682" spans="2:4" x14ac:dyDescent="0.3">
      <c r="B682" s="11">
        <f t="shared" si="11"/>
        <v>680</v>
      </c>
      <c r="C682" s="11">
        <v>66377.842510165457</v>
      </c>
      <c r="D682" s="180">
        <v>64282.677390967532</v>
      </c>
    </row>
    <row r="683" spans="2:4" x14ac:dyDescent="0.3">
      <c r="B683" s="11">
        <f t="shared" si="11"/>
        <v>681</v>
      </c>
      <c r="C683" s="11">
        <v>107692.2669795674</v>
      </c>
      <c r="D683" s="180">
        <v>107692.2669795674</v>
      </c>
    </row>
    <row r="684" spans="2:4" x14ac:dyDescent="0.3">
      <c r="B684" s="11">
        <f t="shared" si="11"/>
        <v>682</v>
      </c>
      <c r="C684" s="11">
        <v>66207.148931694479</v>
      </c>
      <c r="D684" s="180">
        <v>63212.661503315394</v>
      </c>
    </row>
    <row r="685" spans="2:4" x14ac:dyDescent="0.3">
      <c r="B685" s="11">
        <f t="shared" si="11"/>
        <v>683</v>
      </c>
      <c r="C685" s="11">
        <v>96642.752471797212</v>
      </c>
      <c r="D685" s="180">
        <v>96642.752471797212</v>
      </c>
    </row>
    <row r="686" spans="2:4" x14ac:dyDescent="0.3">
      <c r="B686" s="11">
        <f t="shared" si="11"/>
        <v>684</v>
      </c>
      <c r="C686" s="11">
        <v>88337.93900358252</v>
      </c>
      <c r="D686" s="180">
        <v>88337.93900358252</v>
      </c>
    </row>
    <row r="687" spans="2:4" x14ac:dyDescent="0.3">
      <c r="B687" s="11">
        <f t="shared" si="11"/>
        <v>685</v>
      </c>
      <c r="C687" s="11">
        <v>88560.880500528583</v>
      </c>
      <c r="D687" s="180">
        <v>88560.880500528583</v>
      </c>
    </row>
    <row r="688" spans="2:4" x14ac:dyDescent="0.3">
      <c r="B688" s="11">
        <f t="shared" si="11"/>
        <v>686</v>
      </c>
      <c r="C688" s="11">
        <v>131451.7682184533</v>
      </c>
      <c r="D688" s="180">
        <v>131451.7682184533</v>
      </c>
    </row>
    <row r="689" spans="2:4" x14ac:dyDescent="0.3">
      <c r="B689" s="11">
        <f t="shared" si="11"/>
        <v>687</v>
      </c>
      <c r="C689" s="11">
        <v>100176.35377872398</v>
      </c>
      <c r="D689" s="180">
        <v>100176.35377872398</v>
      </c>
    </row>
    <row r="690" spans="2:4" x14ac:dyDescent="0.3">
      <c r="B690" s="11">
        <f t="shared" si="11"/>
        <v>688</v>
      </c>
      <c r="C690" s="11">
        <v>99582.257688458034</v>
      </c>
      <c r="D690" s="180">
        <v>99582.257688458034</v>
      </c>
    </row>
    <row r="691" spans="2:4" x14ac:dyDescent="0.3">
      <c r="B691" s="11">
        <f t="shared" si="11"/>
        <v>689</v>
      </c>
      <c r="C691" s="11">
        <v>89770.289725874012</v>
      </c>
      <c r="D691" s="180">
        <v>89770.289725874012</v>
      </c>
    </row>
    <row r="692" spans="2:4" x14ac:dyDescent="0.3">
      <c r="B692" s="11">
        <f t="shared" si="11"/>
        <v>690</v>
      </c>
      <c r="C692" s="11">
        <v>101044.5123975787</v>
      </c>
      <c r="D692" s="180">
        <v>101044.5123975787</v>
      </c>
    </row>
    <row r="693" spans="2:4" x14ac:dyDescent="0.3">
      <c r="B693" s="11">
        <f t="shared" si="11"/>
        <v>691</v>
      </c>
      <c r="C693" s="11">
        <v>90428.224500461176</v>
      </c>
      <c r="D693" s="180">
        <v>90428.224500461176</v>
      </c>
    </row>
    <row r="694" spans="2:4" x14ac:dyDescent="0.3">
      <c r="B694" s="11">
        <f t="shared" si="11"/>
        <v>692</v>
      </c>
      <c r="C694" s="11">
        <v>93221.413750396299</v>
      </c>
      <c r="D694" s="180">
        <v>90131.250381127466</v>
      </c>
    </row>
    <row r="695" spans="2:4" x14ac:dyDescent="0.3">
      <c r="B695" s="11">
        <f t="shared" si="11"/>
        <v>693</v>
      </c>
      <c r="C695" s="11">
        <v>87015.888482944036</v>
      </c>
      <c r="D695" s="180">
        <v>87015.888482944036</v>
      </c>
    </row>
    <row r="696" spans="2:4" x14ac:dyDescent="0.3">
      <c r="B696" s="11">
        <f t="shared" si="11"/>
        <v>694</v>
      </c>
      <c r="C696" s="11">
        <v>80663.954383309901</v>
      </c>
      <c r="D696" s="180">
        <v>80663.954383309901</v>
      </c>
    </row>
    <row r="697" spans="2:4" x14ac:dyDescent="0.3">
      <c r="B697" s="11">
        <f t="shared" si="11"/>
        <v>695</v>
      </c>
      <c r="C697" s="11">
        <v>80657.66764145637</v>
      </c>
      <c r="D697" s="180">
        <v>80657.66764145637</v>
      </c>
    </row>
    <row r="698" spans="2:4" x14ac:dyDescent="0.3">
      <c r="B698" s="11">
        <f t="shared" si="11"/>
        <v>696</v>
      </c>
      <c r="C698" s="11">
        <v>110062.81241090548</v>
      </c>
      <c r="D698" s="180">
        <v>110062.81241090548</v>
      </c>
    </row>
    <row r="699" spans="2:4" x14ac:dyDescent="0.3">
      <c r="B699" s="11">
        <f t="shared" si="11"/>
        <v>697</v>
      </c>
      <c r="C699" s="11">
        <v>94034.242279634418</v>
      </c>
      <c r="D699" s="180">
        <v>94034.242279634418</v>
      </c>
    </row>
    <row r="700" spans="2:4" x14ac:dyDescent="0.3">
      <c r="B700" s="11">
        <f t="shared" si="11"/>
        <v>698</v>
      </c>
      <c r="C700" s="11">
        <v>82393.828675313518</v>
      </c>
      <c r="D700" s="180">
        <v>82393.828675313518</v>
      </c>
    </row>
    <row r="701" spans="2:4" x14ac:dyDescent="0.3">
      <c r="B701" s="11">
        <f t="shared" si="11"/>
        <v>699</v>
      </c>
      <c r="C701" s="11">
        <v>92032.814005326727</v>
      </c>
      <c r="D701" s="180">
        <v>92032.814005326727</v>
      </c>
    </row>
    <row r="702" spans="2:4" x14ac:dyDescent="0.3">
      <c r="B702" s="11">
        <f t="shared" si="11"/>
        <v>700</v>
      </c>
      <c r="C702" s="11">
        <v>114689.50309229548</v>
      </c>
      <c r="D702" s="180">
        <v>114689.50309229548</v>
      </c>
    </row>
    <row r="703" spans="2:4" x14ac:dyDescent="0.3">
      <c r="B703" s="11">
        <f t="shared" si="11"/>
        <v>701</v>
      </c>
      <c r="C703" s="11">
        <v>90711.293024846513</v>
      </c>
      <c r="D703" s="180">
        <v>90711.293024846513</v>
      </c>
    </row>
    <row r="704" spans="2:4" x14ac:dyDescent="0.3">
      <c r="B704" s="11">
        <f t="shared" si="11"/>
        <v>702</v>
      </c>
      <c r="C704" s="11">
        <v>104078.74074105261</v>
      </c>
      <c r="D704" s="180">
        <v>104078.74074105261</v>
      </c>
    </row>
    <row r="705" spans="2:4" x14ac:dyDescent="0.3">
      <c r="B705" s="11">
        <f t="shared" si="11"/>
        <v>703</v>
      </c>
      <c r="C705" s="11">
        <v>93229.121939510456</v>
      </c>
      <c r="D705" s="180">
        <v>93229.121939510456</v>
      </c>
    </row>
    <row r="706" spans="2:4" x14ac:dyDescent="0.3">
      <c r="B706" s="11">
        <f t="shared" si="11"/>
        <v>704</v>
      </c>
      <c r="C706" s="11">
        <v>63092.359435797531</v>
      </c>
      <c r="D706" s="180">
        <v>63092.359435797531</v>
      </c>
    </row>
    <row r="707" spans="2:4" x14ac:dyDescent="0.3">
      <c r="B707" s="11">
        <f t="shared" si="11"/>
        <v>705</v>
      </c>
      <c r="C707" s="11">
        <v>119309.50025773972</v>
      </c>
      <c r="D707" s="180">
        <v>119309.50025773972</v>
      </c>
    </row>
    <row r="708" spans="2:4" x14ac:dyDescent="0.3">
      <c r="B708" s="11">
        <f t="shared" si="11"/>
        <v>706</v>
      </c>
      <c r="C708" s="11">
        <v>80662.054632956788</v>
      </c>
      <c r="D708" s="180">
        <v>80662.054632956788</v>
      </c>
    </row>
    <row r="709" spans="2:4" x14ac:dyDescent="0.3">
      <c r="B709" s="11">
        <f t="shared" ref="B709:B772" si="12">B708+1</f>
        <v>707</v>
      </c>
      <c r="C709" s="11">
        <v>88799.754998903503</v>
      </c>
      <c r="D709" s="180">
        <v>88799.754998903503</v>
      </c>
    </row>
    <row r="710" spans="2:4" x14ac:dyDescent="0.3">
      <c r="B710" s="11">
        <f t="shared" si="12"/>
        <v>708</v>
      </c>
      <c r="C710" s="11">
        <v>94969.905828392919</v>
      </c>
      <c r="D710" s="180">
        <v>94969.905828392919</v>
      </c>
    </row>
    <row r="711" spans="2:4" x14ac:dyDescent="0.3">
      <c r="B711" s="11">
        <f t="shared" si="12"/>
        <v>709</v>
      </c>
      <c r="C711" s="11">
        <v>104935.23201619909</v>
      </c>
      <c r="D711" s="180">
        <v>104935.23201619909</v>
      </c>
    </row>
    <row r="712" spans="2:4" x14ac:dyDescent="0.3">
      <c r="B712" s="11">
        <f t="shared" si="12"/>
        <v>710</v>
      </c>
      <c r="C712" s="11">
        <v>78377.870060317335</v>
      </c>
      <c r="D712" s="180">
        <v>78377.870060317335</v>
      </c>
    </row>
    <row r="713" spans="2:4" x14ac:dyDescent="0.3">
      <c r="B713" s="11">
        <f t="shared" si="12"/>
        <v>711</v>
      </c>
      <c r="C713" s="11">
        <v>76741.901562876257</v>
      </c>
      <c r="D713" s="180">
        <v>76741.901562876257</v>
      </c>
    </row>
    <row r="714" spans="2:4" x14ac:dyDescent="0.3">
      <c r="B714" s="11">
        <f t="shared" si="12"/>
        <v>712</v>
      </c>
      <c r="C714" s="11">
        <v>101187.96497908865</v>
      </c>
      <c r="D714" s="180">
        <v>101187.96497908865</v>
      </c>
    </row>
    <row r="715" spans="2:4" x14ac:dyDescent="0.3">
      <c r="B715" s="11">
        <f t="shared" si="12"/>
        <v>713</v>
      </c>
      <c r="C715" s="11">
        <v>112285.03923589014</v>
      </c>
      <c r="D715" s="180">
        <v>112285.03923589014</v>
      </c>
    </row>
    <row r="716" spans="2:4" x14ac:dyDescent="0.3">
      <c r="B716" s="11">
        <f t="shared" si="12"/>
        <v>714</v>
      </c>
      <c r="C716" s="11">
        <v>79075.865755454608</v>
      </c>
      <c r="D716" s="180">
        <v>79075.865755454608</v>
      </c>
    </row>
    <row r="717" spans="2:4" x14ac:dyDescent="0.3">
      <c r="B717" s="11">
        <f t="shared" si="12"/>
        <v>715</v>
      </c>
      <c r="C717" s="11">
        <v>57424.176774537766</v>
      </c>
      <c r="D717" s="180">
        <v>57424.176774537766</v>
      </c>
    </row>
    <row r="718" spans="2:4" x14ac:dyDescent="0.3">
      <c r="B718" s="11">
        <f t="shared" si="12"/>
        <v>716</v>
      </c>
      <c r="C718" s="11">
        <v>104780.30947046856</v>
      </c>
      <c r="D718" s="180">
        <v>104780.30947046856</v>
      </c>
    </row>
    <row r="719" spans="2:4" x14ac:dyDescent="0.3">
      <c r="B719" s="11">
        <f t="shared" si="12"/>
        <v>717</v>
      </c>
      <c r="C719" s="11">
        <v>104730.01289492343</v>
      </c>
      <c r="D719" s="180">
        <v>104730.01289492343</v>
      </c>
    </row>
    <row r="720" spans="2:4" x14ac:dyDescent="0.3">
      <c r="B720" s="11">
        <f t="shared" si="12"/>
        <v>718</v>
      </c>
      <c r="C720" s="11">
        <v>82726.630204078101</v>
      </c>
      <c r="D720" s="180">
        <v>82726.630204078101</v>
      </c>
    </row>
    <row r="721" spans="2:4" x14ac:dyDescent="0.3">
      <c r="B721" s="11">
        <f t="shared" si="12"/>
        <v>719</v>
      </c>
      <c r="C721" s="11">
        <v>113824.82475887607</v>
      </c>
      <c r="D721" s="180">
        <v>115362.60121269288</v>
      </c>
    </row>
    <row r="722" spans="2:4" x14ac:dyDescent="0.3">
      <c r="B722" s="11">
        <f t="shared" si="12"/>
        <v>720</v>
      </c>
      <c r="C722" s="11">
        <v>90639.904725339991</v>
      </c>
      <c r="D722" s="180">
        <v>90639.904725339991</v>
      </c>
    </row>
    <row r="723" spans="2:4" x14ac:dyDescent="0.3">
      <c r="B723" s="11">
        <f t="shared" si="12"/>
        <v>721</v>
      </c>
      <c r="C723" s="11">
        <v>54396.577263663305</v>
      </c>
      <c r="D723" s="180">
        <v>54396.577263663305</v>
      </c>
    </row>
    <row r="724" spans="2:4" x14ac:dyDescent="0.3">
      <c r="B724" s="11">
        <f t="shared" si="12"/>
        <v>722</v>
      </c>
      <c r="C724" s="11">
        <v>95199.522276385862</v>
      </c>
      <c r="D724" s="180">
        <v>95199.522276385862</v>
      </c>
    </row>
    <row r="725" spans="2:4" x14ac:dyDescent="0.3">
      <c r="B725" s="11">
        <f t="shared" si="12"/>
        <v>723</v>
      </c>
      <c r="C725" s="11">
        <v>74444.749164993045</v>
      </c>
      <c r="D725" s="180">
        <v>74444.749164993045</v>
      </c>
    </row>
    <row r="726" spans="2:4" x14ac:dyDescent="0.3">
      <c r="B726" s="11">
        <f t="shared" si="12"/>
        <v>724</v>
      </c>
      <c r="C726" s="11">
        <v>84970.365067560051</v>
      </c>
      <c r="D726" s="180">
        <v>84970.365067560051</v>
      </c>
    </row>
    <row r="727" spans="2:4" x14ac:dyDescent="0.3">
      <c r="B727" s="11">
        <f t="shared" si="12"/>
        <v>725</v>
      </c>
      <c r="C727" s="11">
        <v>123001.27724309613</v>
      </c>
      <c r="D727" s="180">
        <v>123001.27724309613</v>
      </c>
    </row>
    <row r="728" spans="2:4" x14ac:dyDescent="0.3">
      <c r="B728" s="11">
        <f t="shared" si="12"/>
        <v>726</v>
      </c>
      <c r="C728" s="11">
        <v>81223.538276579595</v>
      </c>
      <c r="D728" s="180">
        <v>81223.538276579595</v>
      </c>
    </row>
    <row r="729" spans="2:4" x14ac:dyDescent="0.3">
      <c r="B729" s="11">
        <f t="shared" si="12"/>
        <v>727</v>
      </c>
      <c r="C729" s="11">
        <v>78795.344527937719</v>
      </c>
      <c r="D729" s="180">
        <v>77332.541847834073</v>
      </c>
    </row>
    <row r="730" spans="2:4" x14ac:dyDescent="0.3">
      <c r="B730" s="11">
        <f t="shared" si="12"/>
        <v>728</v>
      </c>
      <c r="C730" s="11">
        <v>93170.90254850706</v>
      </c>
      <c r="D730" s="180">
        <v>93170.90254850706</v>
      </c>
    </row>
    <row r="731" spans="2:4" x14ac:dyDescent="0.3">
      <c r="B731" s="11">
        <f t="shared" si="12"/>
        <v>729</v>
      </c>
      <c r="C731" s="11">
        <v>84764.429341560957</v>
      </c>
      <c r="D731" s="180">
        <v>84764.429341560957</v>
      </c>
    </row>
    <row r="732" spans="2:4" x14ac:dyDescent="0.3">
      <c r="B732" s="11">
        <f t="shared" si="12"/>
        <v>730</v>
      </c>
      <c r="C732" s="11">
        <v>85926.590276972405</v>
      </c>
      <c r="D732" s="180">
        <v>85926.590276972405</v>
      </c>
    </row>
    <row r="733" spans="2:4" x14ac:dyDescent="0.3">
      <c r="B733" s="11">
        <f t="shared" si="12"/>
        <v>731</v>
      </c>
      <c r="C733" s="11">
        <v>75033.733948724956</v>
      </c>
      <c r="D733" s="180">
        <v>75033.733948724956</v>
      </c>
    </row>
    <row r="734" spans="2:4" x14ac:dyDescent="0.3">
      <c r="B734" s="11">
        <f t="shared" si="12"/>
        <v>732</v>
      </c>
      <c r="C734" s="11">
        <v>74827.527028515731</v>
      </c>
      <c r="D734" s="180">
        <v>74827.527028515731</v>
      </c>
    </row>
    <row r="735" spans="2:4" x14ac:dyDescent="0.3">
      <c r="B735" s="11">
        <f t="shared" si="12"/>
        <v>733</v>
      </c>
      <c r="C735" s="11">
        <v>80340.167210943691</v>
      </c>
      <c r="D735" s="180">
        <v>80340.167210943691</v>
      </c>
    </row>
    <row r="736" spans="2:4" x14ac:dyDescent="0.3">
      <c r="B736" s="11">
        <f t="shared" si="12"/>
        <v>734</v>
      </c>
      <c r="C736" s="11">
        <v>98977.642938431047</v>
      </c>
      <c r="D736" s="180">
        <v>98977.642938431047</v>
      </c>
    </row>
    <row r="737" spans="2:4" x14ac:dyDescent="0.3">
      <c r="B737" s="11">
        <f t="shared" si="12"/>
        <v>735</v>
      </c>
      <c r="C737" s="11">
        <v>92288.318176472792</v>
      </c>
      <c r="D737" s="180">
        <v>92288.318176472792</v>
      </c>
    </row>
    <row r="738" spans="2:4" x14ac:dyDescent="0.3">
      <c r="B738" s="11">
        <f t="shared" si="12"/>
        <v>736</v>
      </c>
      <c r="C738" s="11">
        <v>76017.988794299206</v>
      </c>
      <c r="D738" s="180">
        <v>76017.988794299206</v>
      </c>
    </row>
    <row r="739" spans="2:4" x14ac:dyDescent="0.3">
      <c r="B739" s="11">
        <f t="shared" si="12"/>
        <v>737</v>
      </c>
      <c r="C739" s="11">
        <v>145528.69830774734</v>
      </c>
      <c r="D739" s="180">
        <v>147121.52556807612</v>
      </c>
    </row>
    <row r="740" spans="2:4" x14ac:dyDescent="0.3">
      <c r="B740" s="11">
        <f t="shared" si="12"/>
        <v>738</v>
      </c>
      <c r="C740" s="11">
        <v>117424.13702814905</v>
      </c>
      <c r="D740" s="180">
        <v>117424.13702814905</v>
      </c>
    </row>
    <row r="741" spans="2:4" x14ac:dyDescent="0.3">
      <c r="B741" s="11">
        <f t="shared" si="12"/>
        <v>739</v>
      </c>
      <c r="C741" s="11">
        <v>94469.155674732872</v>
      </c>
      <c r="D741" s="180">
        <v>96010.823770370931</v>
      </c>
    </row>
    <row r="742" spans="2:4" x14ac:dyDescent="0.3">
      <c r="B742" s="11">
        <f t="shared" si="12"/>
        <v>740</v>
      </c>
      <c r="C742" s="11">
        <v>66716.776083775752</v>
      </c>
      <c r="D742" s="180">
        <v>63303.006908780022</v>
      </c>
    </row>
    <row r="743" spans="2:4" x14ac:dyDescent="0.3">
      <c r="B743" s="11">
        <f t="shared" si="12"/>
        <v>741</v>
      </c>
      <c r="C743" s="11">
        <v>86663.309641432701</v>
      </c>
      <c r="D743" s="180">
        <v>86663.309641432701</v>
      </c>
    </row>
    <row r="744" spans="2:4" x14ac:dyDescent="0.3">
      <c r="B744" s="11">
        <f t="shared" si="12"/>
        <v>742</v>
      </c>
      <c r="C744" s="11">
        <v>107801.20422121968</v>
      </c>
      <c r="D744" s="180">
        <v>107801.20422121968</v>
      </c>
    </row>
    <row r="745" spans="2:4" x14ac:dyDescent="0.3">
      <c r="B745" s="11">
        <f t="shared" si="12"/>
        <v>743</v>
      </c>
      <c r="C745" s="11">
        <v>109301.43964997884</v>
      </c>
      <c r="D745" s="180">
        <v>109301.43964997884</v>
      </c>
    </row>
    <row r="746" spans="2:4" x14ac:dyDescent="0.3">
      <c r="B746" s="11">
        <f t="shared" si="12"/>
        <v>744</v>
      </c>
      <c r="C746" s="11">
        <v>85530.163730044951</v>
      </c>
      <c r="D746" s="180">
        <v>85530.163730044951</v>
      </c>
    </row>
    <row r="747" spans="2:4" x14ac:dyDescent="0.3">
      <c r="B747" s="11">
        <f t="shared" si="12"/>
        <v>745</v>
      </c>
      <c r="C747" s="11">
        <v>97945.681760246182</v>
      </c>
      <c r="D747" s="180">
        <v>97945.681760246182</v>
      </c>
    </row>
    <row r="748" spans="2:4" x14ac:dyDescent="0.3">
      <c r="B748" s="11">
        <f t="shared" si="12"/>
        <v>746</v>
      </c>
      <c r="C748" s="11">
        <v>93022.385850070728</v>
      </c>
      <c r="D748" s="180">
        <v>93022.385850070728</v>
      </c>
    </row>
    <row r="749" spans="2:4" x14ac:dyDescent="0.3">
      <c r="B749" s="11">
        <f t="shared" si="12"/>
        <v>747</v>
      </c>
      <c r="C749" s="11">
        <v>83794.665904508031</v>
      </c>
      <c r="D749" s="180">
        <v>83794.665904508031</v>
      </c>
    </row>
    <row r="750" spans="2:4" x14ac:dyDescent="0.3">
      <c r="B750" s="11">
        <f t="shared" si="12"/>
        <v>748</v>
      </c>
      <c r="C750" s="11">
        <v>128740.94518335276</v>
      </c>
      <c r="D750" s="180">
        <v>128740.94518335276</v>
      </c>
    </row>
    <row r="751" spans="2:4" x14ac:dyDescent="0.3">
      <c r="B751" s="11">
        <f t="shared" si="12"/>
        <v>749</v>
      </c>
      <c r="C751" s="11">
        <v>102347.83084462114</v>
      </c>
      <c r="D751" s="180">
        <v>102347.83084462114</v>
      </c>
    </row>
    <row r="752" spans="2:4" x14ac:dyDescent="0.3">
      <c r="B752" s="11">
        <f t="shared" si="12"/>
        <v>750</v>
      </c>
      <c r="C752" s="11">
        <v>88939.956130542458</v>
      </c>
      <c r="D752" s="180">
        <v>88939.956130542458</v>
      </c>
    </row>
    <row r="753" spans="2:4" x14ac:dyDescent="0.3">
      <c r="B753" s="11">
        <f t="shared" si="12"/>
        <v>751</v>
      </c>
      <c r="C753" s="11">
        <v>124185.51840157874</v>
      </c>
      <c r="D753" s="180">
        <v>124185.51840157874</v>
      </c>
    </row>
    <row r="754" spans="2:4" x14ac:dyDescent="0.3">
      <c r="B754" s="11">
        <f t="shared" si="12"/>
        <v>752</v>
      </c>
      <c r="C754" s="11">
        <v>103335.69214775994</v>
      </c>
      <c r="D754" s="180">
        <v>103335.69214775994</v>
      </c>
    </row>
    <row r="755" spans="2:4" x14ac:dyDescent="0.3">
      <c r="B755" s="11">
        <f t="shared" si="12"/>
        <v>753</v>
      </c>
      <c r="C755" s="11">
        <v>98051.146826581898</v>
      </c>
      <c r="D755" s="180">
        <v>98051.146826581898</v>
      </c>
    </row>
    <row r="756" spans="2:4" x14ac:dyDescent="0.3">
      <c r="B756" s="11">
        <f t="shared" si="12"/>
        <v>754</v>
      </c>
      <c r="C756" s="11">
        <v>86485.826051983953</v>
      </c>
      <c r="D756" s="180">
        <v>85019.412452437929</v>
      </c>
    </row>
    <row r="757" spans="2:4" x14ac:dyDescent="0.3">
      <c r="B757" s="11">
        <f t="shared" si="12"/>
        <v>755</v>
      </c>
      <c r="C757" s="11">
        <v>115108.18249843098</v>
      </c>
      <c r="D757" s="180">
        <v>115108.18249843098</v>
      </c>
    </row>
    <row r="758" spans="2:4" x14ac:dyDescent="0.3">
      <c r="B758" s="11">
        <f t="shared" si="12"/>
        <v>756</v>
      </c>
      <c r="C758" s="11">
        <v>92769.98536384711</v>
      </c>
      <c r="D758" s="180">
        <v>92769.98536384711</v>
      </c>
    </row>
    <row r="759" spans="2:4" x14ac:dyDescent="0.3">
      <c r="B759" s="11">
        <f t="shared" si="12"/>
        <v>757</v>
      </c>
      <c r="C759" s="11">
        <v>97788.046550551022</v>
      </c>
      <c r="D759" s="180">
        <v>97788.046550551022</v>
      </c>
    </row>
    <row r="760" spans="2:4" x14ac:dyDescent="0.3">
      <c r="B760" s="11">
        <f t="shared" si="12"/>
        <v>758</v>
      </c>
      <c r="C760" s="11">
        <v>121955.10392368597</v>
      </c>
      <c r="D760" s="180">
        <v>121955.10392368597</v>
      </c>
    </row>
    <row r="761" spans="2:4" x14ac:dyDescent="0.3">
      <c r="B761" s="11">
        <f t="shared" si="12"/>
        <v>759</v>
      </c>
      <c r="C761" s="11">
        <v>85105.043405306409</v>
      </c>
      <c r="D761" s="180">
        <v>85105.043405306409</v>
      </c>
    </row>
    <row r="762" spans="2:4" x14ac:dyDescent="0.3">
      <c r="B762" s="11">
        <f t="shared" si="12"/>
        <v>760</v>
      </c>
      <c r="C762" s="11">
        <v>115501.75177243121</v>
      </c>
      <c r="D762" s="180">
        <v>115501.75177243121</v>
      </c>
    </row>
    <row r="763" spans="2:4" x14ac:dyDescent="0.3">
      <c r="B763" s="11">
        <f t="shared" si="12"/>
        <v>761</v>
      </c>
      <c r="C763" s="11">
        <v>101602.49311526389</v>
      </c>
      <c r="D763" s="180">
        <v>101602.49311526389</v>
      </c>
    </row>
    <row r="764" spans="2:4" x14ac:dyDescent="0.3">
      <c r="B764" s="11">
        <f t="shared" si="12"/>
        <v>762</v>
      </c>
      <c r="C764" s="11">
        <v>101505.41696095324</v>
      </c>
      <c r="D764" s="180">
        <v>101505.41696095324</v>
      </c>
    </row>
    <row r="765" spans="2:4" x14ac:dyDescent="0.3">
      <c r="B765" s="11">
        <f t="shared" si="12"/>
        <v>763</v>
      </c>
      <c r="C765" s="11">
        <v>89499.675659908768</v>
      </c>
      <c r="D765" s="180">
        <v>89499.675659908768</v>
      </c>
    </row>
    <row r="766" spans="2:4" x14ac:dyDescent="0.3">
      <c r="B766" s="11">
        <f t="shared" si="12"/>
        <v>764</v>
      </c>
      <c r="C766" s="11">
        <v>100194.84235851131</v>
      </c>
      <c r="D766" s="180">
        <v>100194.84235851131</v>
      </c>
    </row>
    <row r="767" spans="2:4" x14ac:dyDescent="0.3">
      <c r="B767" s="11">
        <f t="shared" si="12"/>
        <v>765</v>
      </c>
      <c r="C767" s="11">
        <v>90187.60557556116</v>
      </c>
      <c r="D767" s="180">
        <v>90187.60557556116</v>
      </c>
    </row>
    <row r="768" spans="2:4" x14ac:dyDescent="0.3">
      <c r="B768" s="11">
        <f t="shared" si="12"/>
        <v>766</v>
      </c>
      <c r="C768" s="11">
        <v>109564.74665470382</v>
      </c>
      <c r="D768" s="180">
        <v>109564.74665470382</v>
      </c>
    </row>
    <row r="769" spans="2:4" x14ac:dyDescent="0.3">
      <c r="B769" s="11">
        <f t="shared" si="12"/>
        <v>767</v>
      </c>
      <c r="C769" s="11">
        <v>85286.918032241243</v>
      </c>
      <c r="D769" s="180">
        <v>85286.918032241243</v>
      </c>
    </row>
    <row r="770" spans="2:4" x14ac:dyDescent="0.3">
      <c r="B770" s="11">
        <f t="shared" si="12"/>
        <v>768</v>
      </c>
      <c r="C770" s="11">
        <v>83592.724100492138</v>
      </c>
      <c r="D770" s="180">
        <v>80584.374401346489</v>
      </c>
    </row>
    <row r="771" spans="2:4" x14ac:dyDescent="0.3">
      <c r="B771" s="11">
        <f t="shared" si="12"/>
        <v>769</v>
      </c>
      <c r="C771" s="11">
        <v>112096.91060680435</v>
      </c>
      <c r="D771" s="180">
        <v>114614.59115399289</v>
      </c>
    </row>
    <row r="772" spans="2:4" x14ac:dyDescent="0.3">
      <c r="B772" s="11">
        <f t="shared" si="12"/>
        <v>770</v>
      </c>
      <c r="C772" s="11">
        <v>96894.232467372902</v>
      </c>
      <c r="D772" s="180">
        <v>96894.232467372902</v>
      </c>
    </row>
    <row r="773" spans="2:4" x14ac:dyDescent="0.3">
      <c r="B773" s="11">
        <f t="shared" ref="B773:B836" si="13">B772+1</f>
        <v>771</v>
      </c>
      <c r="C773" s="11">
        <v>79130.591534894789</v>
      </c>
      <c r="D773" s="180">
        <v>79130.591534894789</v>
      </c>
    </row>
    <row r="774" spans="2:4" x14ac:dyDescent="0.3">
      <c r="B774" s="11">
        <f t="shared" si="13"/>
        <v>772</v>
      </c>
      <c r="C774" s="11">
        <v>92392.345284797382</v>
      </c>
      <c r="D774" s="180">
        <v>92392.345284797382</v>
      </c>
    </row>
    <row r="775" spans="2:4" x14ac:dyDescent="0.3">
      <c r="B775" s="11">
        <f t="shared" si="13"/>
        <v>773</v>
      </c>
      <c r="C775" s="11">
        <v>102085.80367089147</v>
      </c>
      <c r="D775" s="180">
        <v>102085.80367089147</v>
      </c>
    </row>
    <row r="776" spans="2:4" x14ac:dyDescent="0.3">
      <c r="B776" s="11">
        <f t="shared" si="13"/>
        <v>774</v>
      </c>
      <c r="C776" s="11">
        <v>113085.36279304797</v>
      </c>
      <c r="D776" s="180">
        <v>113085.36279304797</v>
      </c>
    </row>
    <row r="777" spans="2:4" x14ac:dyDescent="0.3">
      <c r="B777" s="11">
        <f t="shared" si="13"/>
        <v>775</v>
      </c>
      <c r="C777" s="11">
        <v>105212.85994501956</v>
      </c>
      <c r="D777" s="180">
        <v>105212.85994501956</v>
      </c>
    </row>
    <row r="778" spans="2:4" x14ac:dyDescent="0.3">
      <c r="B778" s="11">
        <f t="shared" si="13"/>
        <v>776</v>
      </c>
      <c r="C778" s="11">
        <v>85773.375814355342</v>
      </c>
      <c r="D778" s="180">
        <v>85773.375814355342</v>
      </c>
    </row>
    <row r="779" spans="2:4" x14ac:dyDescent="0.3">
      <c r="B779" s="11">
        <f t="shared" si="13"/>
        <v>777</v>
      </c>
      <c r="C779" s="11">
        <v>116188.78549258382</v>
      </c>
      <c r="D779" s="180">
        <v>116188.78549258382</v>
      </c>
    </row>
    <row r="780" spans="2:4" x14ac:dyDescent="0.3">
      <c r="B780" s="11">
        <f t="shared" si="13"/>
        <v>778</v>
      </c>
      <c r="C780" s="11">
        <v>102664.50785802132</v>
      </c>
      <c r="D780" s="180">
        <v>102664.50785802132</v>
      </c>
    </row>
    <row r="781" spans="2:4" x14ac:dyDescent="0.3">
      <c r="B781" s="11">
        <f t="shared" si="13"/>
        <v>779</v>
      </c>
      <c r="C781" s="11">
        <v>100876.10521619453</v>
      </c>
      <c r="D781" s="180">
        <v>100876.10521619453</v>
      </c>
    </row>
    <row r="782" spans="2:4" x14ac:dyDescent="0.3">
      <c r="B782" s="11">
        <f t="shared" si="13"/>
        <v>780</v>
      </c>
      <c r="C782" s="11">
        <v>82785.680349120215</v>
      </c>
      <c r="D782" s="180">
        <v>82785.680349120215</v>
      </c>
    </row>
    <row r="783" spans="2:4" x14ac:dyDescent="0.3">
      <c r="B783" s="11">
        <f t="shared" si="13"/>
        <v>781</v>
      </c>
      <c r="C783" s="11">
        <v>60495.979184318043</v>
      </c>
      <c r="D783" s="180">
        <v>60495.979184318043</v>
      </c>
    </row>
    <row r="784" spans="2:4" x14ac:dyDescent="0.3">
      <c r="B784" s="11">
        <f t="shared" si="13"/>
        <v>782</v>
      </c>
      <c r="C784" s="11">
        <v>90847.984461431755</v>
      </c>
      <c r="D784" s="180">
        <v>90847.984461431755</v>
      </c>
    </row>
    <row r="785" spans="2:4" x14ac:dyDescent="0.3">
      <c r="B785" s="11">
        <f t="shared" si="13"/>
        <v>783</v>
      </c>
      <c r="C785" s="11">
        <v>91020.689563421634</v>
      </c>
      <c r="D785" s="180">
        <v>91020.689563421634</v>
      </c>
    </row>
    <row r="786" spans="2:4" x14ac:dyDescent="0.3">
      <c r="B786" s="11">
        <f t="shared" si="13"/>
        <v>784</v>
      </c>
      <c r="C786" s="11">
        <v>114777.58026066556</v>
      </c>
      <c r="D786" s="180">
        <v>117708.50991573797</v>
      </c>
    </row>
    <row r="787" spans="2:4" x14ac:dyDescent="0.3">
      <c r="B787" s="11">
        <f t="shared" si="13"/>
        <v>785</v>
      </c>
      <c r="C787" s="11">
        <v>90883.969586254578</v>
      </c>
      <c r="D787" s="180">
        <v>90883.969586254578</v>
      </c>
    </row>
    <row r="788" spans="2:4" x14ac:dyDescent="0.3">
      <c r="B788" s="11">
        <f t="shared" si="13"/>
        <v>786</v>
      </c>
      <c r="C788" s="11">
        <v>88023.62611219156</v>
      </c>
      <c r="D788" s="180">
        <v>86252.353180991282</v>
      </c>
    </row>
    <row r="789" spans="2:4" x14ac:dyDescent="0.3">
      <c r="B789" s="11">
        <f t="shared" si="13"/>
        <v>787</v>
      </c>
      <c r="C789" s="11">
        <v>100578.93229709061</v>
      </c>
      <c r="D789" s="180">
        <v>100578.93229709061</v>
      </c>
    </row>
    <row r="790" spans="2:4" x14ac:dyDescent="0.3">
      <c r="B790" s="11">
        <f t="shared" si="13"/>
        <v>788</v>
      </c>
      <c r="C790" s="11">
        <v>87770.738501541127</v>
      </c>
      <c r="D790" s="180">
        <v>85784.883323288348</v>
      </c>
    </row>
    <row r="791" spans="2:4" x14ac:dyDescent="0.3">
      <c r="B791" s="11">
        <f t="shared" si="13"/>
        <v>789</v>
      </c>
      <c r="C791" s="11">
        <v>102513.34619415813</v>
      </c>
      <c r="D791" s="180">
        <v>102513.34619415813</v>
      </c>
    </row>
    <row r="792" spans="2:4" x14ac:dyDescent="0.3">
      <c r="B792" s="11">
        <f t="shared" si="13"/>
        <v>790</v>
      </c>
      <c r="C792" s="11">
        <v>61937.6348925723</v>
      </c>
      <c r="D792" s="180">
        <v>61937.6348925723</v>
      </c>
    </row>
    <row r="793" spans="2:4" x14ac:dyDescent="0.3">
      <c r="B793" s="11">
        <f t="shared" si="13"/>
        <v>791</v>
      </c>
      <c r="C793" s="11">
        <v>130009.659672853</v>
      </c>
      <c r="D793" s="180">
        <v>130009.659672853</v>
      </c>
    </row>
    <row r="794" spans="2:4" x14ac:dyDescent="0.3">
      <c r="B794" s="11">
        <f t="shared" si="13"/>
        <v>792</v>
      </c>
      <c r="C794" s="11">
        <v>87734.858346082925</v>
      </c>
      <c r="D794" s="180">
        <v>87734.858346082925</v>
      </c>
    </row>
    <row r="795" spans="2:4" x14ac:dyDescent="0.3">
      <c r="B795" s="11">
        <f t="shared" si="13"/>
        <v>793</v>
      </c>
      <c r="C795" s="11">
        <v>105867.22560492849</v>
      </c>
      <c r="D795" s="180">
        <v>107591.81010267959</v>
      </c>
    </row>
    <row r="796" spans="2:4" x14ac:dyDescent="0.3">
      <c r="B796" s="11">
        <f t="shared" si="13"/>
        <v>794</v>
      </c>
      <c r="C796" s="11">
        <v>82386.049236774794</v>
      </c>
      <c r="D796" s="180">
        <v>82386.049236774794</v>
      </c>
    </row>
    <row r="797" spans="2:4" x14ac:dyDescent="0.3">
      <c r="B797" s="11">
        <f t="shared" si="13"/>
        <v>795</v>
      </c>
      <c r="C797" s="11">
        <v>124495.76142981939</v>
      </c>
      <c r="D797" s="180">
        <v>124495.76142981939</v>
      </c>
    </row>
    <row r="798" spans="2:4" x14ac:dyDescent="0.3">
      <c r="B798" s="11">
        <f t="shared" si="13"/>
        <v>796</v>
      </c>
      <c r="C798" s="11">
        <v>104566.05603695485</v>
      </c>
      <c r="D798" s="180">
        <v>104566.05603695485</v>
      </c>
    </row>
    <row r="799" spans="2:4" x14ac:dyDescent="0.3">
      <c r="B799" s="11">
        <f t="shared" si="13"/>
        <v>797</v>
      </c>
      <c r="C799" s="11">
        <v>91689.989125069536</v>
      </c>
      <c r="D799" s="180">
        <v>91689.989125069536</v>
      </c>
    </row>
    <row r="800" spans="2:4" x14ac:dyDescent="0.3">
      <c r="B800" s="11">
        <f t="shared" si="13"/>
        <v>798</v>
      </c>
      <c r="C800" s="11">
        <v>93355.979143913792</v>
      </c>
      <c r="D800" s="180">
        <v>93355.979143913792</v>
      </c>
    </row>
    <row r="801" spans="2:4" x14ac:dyDescent="0.3">
      <c r="B801" s="11">
        <f t="shared" si="13"/>
        <v>799</v>
      </c>
      <c r="C801" s="11">
        <v>76993.509139741014</v>
      </c>
      <c r="D801" s="180">
        <v>76993.509139741014</v>
      </c>
    </row>
    <row r="802" spans="2:4" x14ac:dyDescent="0.3">
      <c r="B802" s="11">
        <f t="shared" si="13"/>
        <v>800</v>
      </c>
      <c r="C802" s="11">
        <v>94972.668897251031</v>
      </c>
      <c r="D802" s="180">
        <v>94972.668897251031</v>
      </c>
    </row>
    <row r="803" spans="2:4" x14ac:dyDescent="0.3">
      <c r="B803" s="11">
        <f t="shared" si="13"/>
        <v>801</v>
      </c>
      <c r="C803" s="11">
        <v>77361.380813038224</v>
      </c>
      <c r="D803" s="180">
        <v>77361.380813038224</v>
      </c>
    </row>
    <row r="804" spans="2:4" x14ac:dyDescent="0.3">
      <c r="B804" s="11">
        <f t="shared" si="13"/>
        <v>802</v>
      </c>
      <c r="C804" s="11">
        <v>78214.08612006082</v>
      </c>
      <c r="D804" s="180">
        <v>78214.08612006082</v>
      </c>
    </row>
    <row r="805" spans="2:4" x14ac:dyDescent="0.3">
      <c r="B805" s="11">
        <f t="shared" si="13"/>
        <v>803</v>
      </c>
      <c r="C805" s="11">
        <v>107531.90546908337</v>
      </c>
      <c r="D805" s="180">
        <v>107531.90546908337</v>
      </c>
    </row>
    <row r="806" spans="2:4" x14ac:dyDescent="0.3">
      <c r="B806" s="11">
        <f t="shared" si="13"/>
        <v>804</v>
      </c>
      <c r="C806" s="11">
        <v>63175.193429994106</v>
      </c>
      <c r="D806" s="180">
        <v>63175.193429994106</v>
      </c>
    </row>
    <row r="807" spans="2:4" x14ac:dyDescent="0.3">
      <c r="B807" s="11">
        <f t="shared" si="13"/>
        <v>805</v>
      </c>
      <c r="C807" s="11">
        <v>104384.82303589016</v>
      </c>
      <c r="D807" s="180">
        <v>104384.82303589016</v>
      </c>
    </row>
    <row r="808" spans="2:4" x14ac:dyDescent="0.3">
      <c r="B808" s="11">
        <f t="shared" si="13"/>
        <v>806</v>
      </c>
      <c r="C808" s="11">
        <v>112954.30341001641</v>
      </c>
      <c r="D808" s="180">
        <v>112954.30341001641</v>
      </c>
    </row>
    <row r="809" spans="2:4" x14ac:dyDescent="0.3">
      <c r="B809" s="11">
        <f t="shared" si="13"/>
        <v>807</v>
      </c>
      <c r="C809" s="11">
        <v>127947.51271252077</v>
      </c>
      <c r="D809" s="180">
        <v>127947.51271252077</v>
      </c>
    </row>
    <row r="810" spans="2:4" x14ac:dyDescent="0.3">
      <c r="B810" s="11">
        <f t="shared" si="13"/>
        <v>808</v>
      </c>
      <c r="C810" s="11">
        <v>122600.98489013822</v>
      </c>
      <c r="D810" s="180">
        <v>124151.99738501034</v>
      </c>
    </row>
    <row r="811" spans="2:4" x14ac:dyDescent="0.3">
      <c r="B811" s="11">
        <f t="shared" si="13"/>
        <v>809</v>
      </c>
      <c r="C811" s="11">
        <v>96270.442029375816</v>
      </c>
      <c r="D811" s="180">
        <v>96270.442029375816</v>
      </c>
    </row>
    <row r="812" spans="2:4" x14ac:dyDescent="0.3">
      <c r="B812" s="11">
        <f t="shared" si="13"/>
        <v>810</v>
      </c>
      <c r="C812" s="11">
        <v>93035.068889446862</v>
      </c>
      <c r="D812" s="180">
        <v>93035.068889446862</v>
      </c>
    </row>
    <row r="813" spans="2:4" x14ac:dyDescent="0.3">
      <c r="B813" s="11">
        <f t="shared" si="13"/>
        <v>811</v>
      </c>
      <c r="C813" s="11">
        <v>100637.36040256948</v>
      </c>
      <c r="D813" s="180">
        <v>100637.36040256948</v>
      </c>
    </row>
    <row r="814" spans="2:4" x14ac:dyDescent="0.3">
      <c r="B814" s="11">
        <f t="shared" si="13"/>
        <v>812</v>
      </c>
      <c r="C814" s="11">
        <v>104814.50206280325</v>
      </c>
      <c r="D814" s="180">
        <v>104814.50206280325</v>
      </c>
    </row>
    <row r="815" spans="2:4" x14ac:dyDescent="0.3">
      <c r="B815" s="11">
        <f t="shared" si="13"/>
        <v>813</v>
      </c>
      <c r="C815" s="11">
        <v>111954.31190477812</v>
      </c>
      <c r="D815" s="180">
        <v>111954.31190477812</v>
      </c>
    </row>
    <row r="816" spans="2:4" x14ac:dyDescent="0.3">
      <c r="B816" s="11">
        <f t="shared" si="13"/>
        <v>814</v>
      </c>
      <c r="C816" s="11">
        <v>70537.1065097955</v>
      </c>
      <c r="D816" s="180">
        <v>70537.1065097955</v>
      </c>
    </row>
    <row r="817" spans="2:4" x14ac:dyDescent="0.3">
      <c r="B817" s="11">
        <f t="shared" si="13"/>
        <v>815</v>
      </c>
      <c r="C817" s="11">
        <v>60595.19648094703</v>
      </c>
      <c r="D817" s="180">
        <v>60595.19648094703</v>
      </c>
    </row>
    <row r="818" spans="2:4" x14ac:dyDescent="0.3">
      <c r="B818" s="11">
        <f t="shared" si="13"/>
        <v>816</v>
      </c>
      <c r="C818" s="11">
        <v>112471.17739875418</v>
      </c>
      <c r="D818" s="180">
        <v>115598.72914837209</v>
      </c>
    </row>
    <row r="819" spans="2:4" x14ac:dyDescent="0.3">
      <c r="B819" s="11">
        <f t="shared" si="13"/>
        <v>817</v>
      </c>
      <c r="C819" s="11">
        <v>72990.994716874571</v>
      </c>
      <c r="D819" s="180">
        <v>72990.994716874571</v>
      </c>
    </row>
    <row r="820" spans="2:4" x14ac:dyDescent="0.3">
      <c r="B820" s="11">
        <f t="shared" si="13"/>
        <v>818</v>
      </c>
      <c r="C820" s="11">
        <v>93029.668608696957</v>
      </c>
      <c r="D820" s="180">
        <v>93029.668608696957</v>
      </c>
    </row>
    <row r="821" spans="2:4" x14ac:dyDescent="0.3">
      <c r="B821" s="11">
        <f t="shared" si="13"/>
        <v>819</v>
      </c>
      <c r="C821" s="11">
        <v>85716.189565186098</v>
      </c>
      <c r="D821" s="180">
        <v>85716.189565186098</v>
      </c>
    </row>
    <row r="822" spans="2:4" x14ac:dyDescent="0.3">
      <c r="B822" s="11">
        <f t="shared" si="13"/>
        <v>820</v>
      </c>
      <c r="C822" s="11">
        <v>93245.376670066165</v>
      </c>
      <c r="D822" s="180">
        <v>93245.376670066165</v>
      </c>
    </row>
    <row r="823" spans="2:4" x14ac:dyDescent="0.3">
      <c r="B823" s="11">
        <f t="shared" si="13"/>
        <v>821</v>
      </c>
      <c r="C823" s="11">
        <v>78938.003593639369</v>
      </c>
      <c r="D823" s="180">
        <v>78938.003593639369</v>
      </c>
    </row>
    <row r="824" spans="2:4" x14ac:dyDescent="0.3">
      <c r="B824" s="11">
        <f t="shared" si="13"/>
        <v>822</v>
      </c>
      <c r="C824" s="11">
        <v>57380.236513851698</v>
      </c>
      <c r="D824" s="180">
        <v>55132.266395301136</v>
      </c>
    </row>
    <row r="825" spans="2:4" x14ac:dyDescent="0.3">
      <c r="B825" s="11">
        <f t="shared" si="13"/>
        <v>823</v>
      </c>
      <c r="C825" s="11">
        <v>97745.312329929322</v>
      </c>
      <c r="D825" s="180">
        <v>97745.312329929322</v>
      </c>
    </row>
    <row r="826" spans="2:4" x14ac:dyDescent="0.3">
      <c r="B826" s="11">
        <f t="shared" si="13"/>
        <v>824</v>
      </c>
      <c r="C826" s="11">
        <v>104443.48141147524</v>
      </c>
      <c r="D826" s="180">
        <v>104443.48141147524</v>
      </c>
    </row>
    <row r="827" spans="2:4" x14ac:dyDescent="0.3">
      <c r="B827" s="11">
        <f t="shared" si="13"/>
        <v>825</v>
      </c>
      <c r="C827" s="11">
        <v>104255.29124155271</v>
      </c>
      <c r="D827" s="180">
        <v>104255.29124155271</v>
      </c>
    </row>
    <row r="828" spans="2:4" x14ac:dyDescent="0.3">
      <c r="B828" s="11">
        <f t="shared" si="13"/>
        <v>826</v>
      </c>
      <c r="C828" s="11">
        <v>106978.65314552789</v>
      </c>
      <c r="D828" s="180">
        <v>106978.65314552789</v>
      </c>
    </row>
    <row r="829" spans="2:4" x14ac:dyDescent="0.3">
      <c r="B829" s="11">
        <f t="shared" si="13"/>
        <v>827</v>
      </c>
      <c r="C829" s="11">
        <v>118467.63456668767</v>
      </c>
      <c r="D829" s="180">
        <v>121255.47027115797</v>
      </c>
    </row>
    <row r="830" spans="2:4" x14ac:dyDescent="0.3">
      <c r="B830" s="11">
        <f t="shared" si="13"/>
        <v>828</v>
      </c>
      <c r="C830" s="11">
        <v>89939.543443807328</v>
      </c>
      <c r="D830" s="180">
        <v>89939.543443807328</v>
      </c>
    </row>
    <row r="831" spans="2:4" x14ac:dyDescent="0.3">
      <c r="B831" s="11">
        <f t="shared" si="13"/>
        <v>829</v>
      </c>
      <c r="C831" s="11">
        <v>71561.978822964578</v>
      </c>
      <c r="D831" s="180">
        <v>71561.978822964578</v>
      </c>
    </row>
    <row r="832" spans="2:4" x14ac:dyDescent="0.3">
      <c r="B832" s="11">
        <f t="shared" si="13"/>
        <v>830</v>
      </c>
      <c r="C832" s="11">
        <v>94565.566169541329</v>
      </c>
      <c r="D832" s="180">
        <v>94565.566169541329</v>
      </c>
    </row>
    <row r="833" spans="2:4" x14ac:dyDescent="0.3">
      <c r="B833" s="11">
        <f t="shared" si="13"/>
        <v>831</v>
      </c>
      <c r="C833" s="11">
        <v>93763.712897533507</v>
      </c>
      <c r="D833" s="180">
        <v>93763.712897533507</v>
      </c>
    </row>
    <row r="834" spans="2:4" x14ac:dyDescent="0.3">
      <c r="B834" s="11">
        <f t="shared" si="13"/>
        <v>832</v>
      </c>
      <c r="C834" s="11">
        <v>104111.77622913265</v>
      </c>
      <c r="D834" s="180">
        <v>104111.77622913265</v>
      </c>
    </row>
    <row r="835" spans="2:4" x14ac:dyDescent="0.3">
      <c r="B835" s="11">
        <f t="shared" si="13"/>
        <v>833</v>
      </c>
      <c r="C835" s="11">
        <v>112483.14091003728</v>
      </c>
      <c r="D835" s="180">
        <v>112483.14091003728</v>
      </c>
    </row>
    <row r="836" spans="2:4" x14ac:dyDescent="0.3">
      <c r="B836" s="11">
        <f t="shared" si="13"/>
        <v>834</v>
      </c>
      <c r="C836" s="11">
        <v>87706.565209829423</v>
      </c>
      <c r="D836" s="180">
        <v>87706.565209829423</v>
      </c>
    </row>
    <row r="837" spans="2:4" x14ac:dyDescent="0.3">
      <c r="B837" s="11">
        <f t="shared" ref="B837:B900" si="14">B836+1</f>
        <v>835</v>
      </c>
      <c r="C837" s="11">
        <v>102111.25547511165</v>
      </c>
      <c r="D837" s="180">
        <v>102111.25547511165</v>
      </c>
    </row>
    <row r="838" spans="2:4" x14ac:dyDescent="0.3">
      <c r="B838" s="11">
        <f t="shared" si="14"/>
        <v>836</v>
      </c>
      <c r="C838" s="11">
        <v>109308.09519186454</v>
      </c>
      <c r="D838" s="180">
        <v>109308.09519186454</v>
      </c>
    </row>
    <row r="839" spans="2:4" x14ac:dyDescent="0.3">
      <c r="B839" s="11">
        <f t="shared" si="14"/>
        <v>837</v>
      </c>
      <c r="C839" s="11">
        <v>87394.217309907006</v>
      </c>
      <c r="D839" s="180">
        <v>87394.217309907006</v>
      </c>
    </row>
    <row r="840" spans="2:4" x14ac:dyDescent="0.3">
      <c r="B840" s="11">
        <f t="shared" si="14"/>
        <v>838</v>
      </c>
      <c r="C840" s="11">
        <v>91461.169141746781</v>
      </c>
      <c r="D840" s="180">
        <v>91461.169141746781</v>
      </c>
    </row>
    <row r="841" spans="2:4" x14ac:dyDescent="0.3">
      <c r="B841" s="11">
        <f t="shared" si="14"/>
        <v>839</v>
      </c>
      <c r="C841" s="11">
        <v>119619.96492360893</v>
      </c>
      <c r="D841" s="180">
        <v>123338.50590327864</v>
      </c>
    </row>
    <row r="842" spans="2:4" x14ac:dyDescent="0.3">
      <c r="B842" s="11">
        <f t="shared" si="14"/>
        <v>840</v>
      </c>
      <c r="C842" s="11">
        <v>88675.043902988706</v>
      </c>
      <c r="D842" s="180">
        <v>88675.043902988706</v>
      </c>
    </row>
    <row r="843" spans="2:4" x14ac:dyDescent="0.3">
      <c r="B843" s="11">
        <f t="shared" si="14"/>
        <v>841</v>
      </c>
      <c r="C843" s="11">
        <v>97616.341926717199</v>
      </c>
      <c r="D843" s="180">
        <v>97616.341926717199</v>
      </c>
    </row>
    <row r="844" spans="2:4" x14ac:dyDescent="0.3">
      <c r="B844" s="11">
        <f t="shared" si="14"/>
        <v>842</v>
      </c>
      <c r="C844" s="11">
        <v>82274.378695210238</v>
      </c>
      <c r="D844" s="180">
        <v>82274.378695210238</v>
      </c>
    </row>
    <row r="845" spans="2:4" x14ac:dyDescent="0.3">
      <c r="B845" s="11">
        <f t="shared" si="14"/>
        <v>843</v>
      </c>
      <c r="C845" s="11">
        <v>77179.469720079825</v>
      </c>
      <c r="D845" s="180">
        <v>77179.469720079825</v>
      </c>
    </row>
    <row r="846" spans="2:4" x14ac:dyDescent="0.3">
      <c r="B846" s="11">
        <f t="shared" si="14"/>
        <v>844</v>
      </c>
      <c r="C846" s="11">
        <v>134766.62750075551</v>
      </c>
      <c r="D846" s="180">
        <v>136277.21895688103</v>
      </c>
    </row>
    <row r="847" spans="2:4" x14ac:dyDescent="0.3">
      <c r="B847" s="11">
        <f t="shared" si="14"/>
        <v>845</v>
      </c>
      <c r="C847" s="11">
        <v>93923.900788206505</v>
      </c>
      <c r="D847" s="180">
        <v>91985.350276770056</v>
      </c>
    </row>
    <row r="848" spans="2:4" x14ac:dyDescent="0.3">
      <c r="B848" s="11">
        <f t="shared" si="14"/>
        <v>846</v>
      </c>
      <c r="C848" s="11">
        <v>48793.885026600125</v>
      </c>
      <c r="D848" s="180">
        <v>48793.885026600125</v>
      </c>
    </row>
    <row r="849" spans="2:4" x14ac:dyDescent="0.3">
      <c r="B849" s="11">
        <f t="shared" si="14"/>
        <v>847</v>
      </c>
      <c r="C849" s="11">
        <v>94665.833598230223</v>
      </c>
      <c r="D849" s="180">
        <v>94665.833598230223</v>
      </c>
    </row>
    <row r="850" spans="2:4" x14ac:dyDescent="0.3">
      <c r="B850" s="11">
        <f t="shared" si="14"/>
        <v>848</v>
      </c>
      <c r="C850" s="11">
        <v>82223.305470037289</v>
      </c>
      <c r="D850" s="180">
        <v>82223.305470037289</v>
      </c>
    </row>
    <row r="851" spans="2:4" x14ac:dyDescent="0.3">
      <c r="B851" s="11">
        <f t="shared" si="14"/>
        <v>849</v>
      </c>
      <c r="C851" s="11">
        <v>88322.588599769078</v>
      </c>
      <c r="D851" s="180">
        <v>88322.588599769078</v>
      </c>
    </row>
    <row r="852" spans="2:4" x14ac:dyDescent="0.3">
      <c r="B852" s="11">
        <f t="shared" si="14"/>
        <v>850</v>
      </c>
      <c r="C852" s="11">
        <v>96319.053156897935</v>
      </c>
      <c r="D852" s="180">
        <v>98051.173469458881</v>
      </c>
    </row>
    <row r="853" spans="2:4" x14ac:dyDescent="0.3">
      <c r="B853" s="11">
        <f t="shared" si="14"/>
        <v>851</v>
      </c>
      <c r="C853" s="11">
        <v>110393.19169130313</v>
      </c>
      <c r="D853" s="180">
        <v>110393.19169130313</v>
      </c>
    </row>
    <row r="854" spans="2:4" x14ac:dyDescent="0.3">
      <c r="B854" s="11">
        <f t="shared" si="14"/>
        <v>852</v>
      </c>
      <c r="C854" s="11">
        <v>79045.312756580039</v>
      </c>
      <c r="D854" s="180">
        <v>77591.428284051566</v>
      </c>
    </row>
    <row r="855" spans="2:4" x14ac:dyDescent="0.3">
      <c r="B855" s="11">
        <f t="shared" si="14"/>
        <v>853</v>
      </c>
      <c r="C855" s="11">
        <v>103068.2483093841</v>
      </c>
      <c r="D855" s="180">
        <v>103068.2483093841</v>
      </c>
    </row>
    <row r="856" spans="2:4" x14ac:dyDescent="0.3">
      <c r="B856" s="11">
        <f t="shared" si="14"/>
        <v>854</v>
      </c>
      <c r="C856" s="11">
        <v>79742.153621179925</v>
      </c>
      <c r="D856" s="180">
        <v>79742.153621179925</v>
      </c>
    </row>
    <row r="857" spans="2:4" x14ac:dyDescent="0.3">
      <c r="B857" s="11">
        <f t="shared" si="14"/>
        <v>855</v>
      </c>
      <c r="C857" s="11">
        <v>115152.92557387846</v>
      </c>
      <c r="D857" s="180">
        <v>115152.92557387846</v>
      </c>
    </row>
    <row r="858" spans="2:4" x14ac:dyDescent="0.3">
      <c r="B858" s="11">
        <f t="shared" si="14"/>
        <v>856</v>
      </c>
      <c r="C858" s="11">
        <v>112510.35448998594</v>
      </c>
      <c r="D858" s="180">
        <v>114771.61414309054</v>
      </c>
    </row>
    <row r="859" spans="2:4" x14ac:dyDescent="0.3">
      <c r="B859" s="11">
        <f t="shared" si="14"/>
        <v>857</v>
      </c>
      <c r="C859" s="11">
        <v>106444.60707413487</v>
      </c>
      <c r="D859" s="180">
        <v>106444.60707413487</v>
      </c>
    </row>
    <row r="860" spans="2:4" x14ac:dyDescent="0.3">
      <c r="B860" s="11">
        <f t="shared" si="14"/>
        <v>858</v>
      </c>
      <c r="C860" s="11">
        <v>72129.794051410892</v>
      </c>
      <c r="D860" s="180">
        <v>72129.794051410892</v>
      </c>
    </row>
    <row r="861" spans="2:4" x14ac:dyDescent="0.3">
      <c r="B861" s="11">
        <f t="shared" si="14"/>
        <v>859</v>
      </c>
      <c r="C861" s="11">
        <v>61436.133660575128</v>
      </c>
      <c r="D861" s="180">
        <v>61436.133660575128</v>
      </c>
    </row>
    <row r="862" spans="2:4" x14ac:dyDescent="0.3">
      <c r="B862" s="11">
        <f t="shared" si="14"/>
        <v>860</v>
      </c>
      <c r="C862" s="11">
        <v>88344.306889163272</v>
      </c>
      <c r="D862" s="180">
        <v>88344.306889163272</v>
      </c>
    </row>
    <row r="863" spans="2:4" x14ac:dyDescent="0.3">
      <c r="B863" s="11">
        <f t="shared" si="14"/>
        <v>861</v>
      </c>
      <c r="C863" s="11">
        <v>113665.16854087585</v>
      </c>
      <c r="D863" s="180">
        <v>113665.16854087585</v>
      </c>
    </row>
    <row r="864" spans="2:4" x14ac:dyDescent="0.3">
      <c r="B864" s="11">
        <f t="shared" si="14"/>
        <v>862</v>
      </c>
      <c r="C864" s="11">
        <v>135604.7184233306</v>
      </c>
      <c r="D864" s="180">
        <v>137270.53855339313</v>
      </c>
    </row>
    <row r="865" spans="2:4" x14ac:dyDescent="0.3">
      <c r="B865" s="11">
        <f t="shared" si="14"/>
        <v>863</v>
      </c>
      <c r="C865" s="11">
        <v>78837.615486177747</v>
      </c>
      <c r="D865" s="180">
        <v>78837.615486177747</v>
      </c>
    </row>
    <row r="866" spans="2:4" x14ac:dyDescent="0.3">
      <c r="B866" s="11">
        <f t="shared" si="14"/>
        <v>864</v>
      </c>
      <c r="C866" s="11">
        <v>85711.015046536515</v>
      </c>
      <c r="D866" s="180">
        <v>85711.015046536515</v>
      </c>
    </row>
    <row r="867" spans="2:4" x14ac:dyDescent="0.3">
      <c r="B867" s="11">
        <f t="shared" si="14"/>
        <v>865</v>
      </c>
      <c r="C867" s="11">
        <v>88445.087950002184</v>
      </c>
      <c r="D867" s="180">
        <v>87018.580255911424</v>
      </c>
    </row>
    <row r="868" spans="2:4" x14ac:dyDescent="0.3">
      <c r="B868" s="11">
        <f t="shared" si="14"/>
        <v>866</v>
      </c>
      <c r="C868" s="11">
        <v>112061.42322345094</v>
      </c>
      <c r="D868" s="180">
        <v>112061.42322345094</v>
      </c>
    </row>
    <row r="869" spans="2:4" x14ac:dyDescent="0.3">
      <c r="B869" s="11">
        <f t="shared" si="14"/>
        <v>867</v>
      </c>
      <c r="C869" s="11">
        <v>94154.529768358989</v>
      </c>
      <c r="D869" s="180">
        <v>94154.529768358989</v>
      </c>
    </row>
    <row r="870" spans="2:4" x14ac:dyDescent="0.3">
      <c r="B870" s="11">
        <f t="shared" si="14"/>
        <v>868</v>
      </c>
      <c r="C870" s="11">
        <v>89295.046978280938</v>
      </c>
      <c r="D870" s="180">
        <v>89295.046978280938</v>
      </c>
    </row>
    <row r="871" spans="2:4" x14ac:dyDescent="0.3">
      <c r="B871" s="11">
        <f t="shared" si="14"/>
        <v>869</v>
      </c>
      <c r="C871" s="11">
        <v>96788.903121961703</v>
      </c>
      <c r="D871" s="180">
        <v>96788.903121961703</v>
      </c>
    </row>
    <row r="872" spans="2:4" x14ac:dyDescent="0.3">
      <c r="B872" s="11">
        <f t="shared" si="14"/>
        <v>870</v>
      </c>
      <c r="C872" s="11">
        <v>103570.86801664828</v>
      </c>
      <c r="D872" s="180">
        <v>103570.86801664828</v>
      </c>
    </row>
    <row r="873" spans="2:4" x14ac:dyDescent="0.3">
      <c r="B873" s="11">
        <f t="shared" si="14"/>
        <v>871</v>
      </c>
      <c r="C873" s="11">
        <v>80929.202774115503</v>
      </c>
      <c r="D873" s="180">
        <v>80929.202774115503</v>
      </c>
    </row>
    <row r="874" spans="2:4" x14ac:dyDescent="0.3">
      <c r="B874" s="11">
        <f t="shared" si="14"/>
        <v>872</v>
      </c>
      <c r="C874" s="11">
        <v>87158.113317375508</v>
      </c>
      <c r="D874" s="180">
        <v>87158.113317375508</v>
      </c>
    </row>
    <row r="875" spans="2:4" x14ac:dyDescent="0.3">
      <c r="B875" s="11">
        <f t="shared" si="14"/>
        <v>873</v>
      </c>
      <c r="C875" s="11">
        <v>76052.779278857633</v>
      </c>
      <c r="D875" s="180">
        <v>76052.779278857633</v>
      </c>
    </row>
    <row r="876" spans="2:4" x14ac:dyDescent="0.3">
      <c r="B876" s="11">
        <f t="shared" si="14"/>
        <v>874</v>
      </c>
      <c r="C876" s="11">
        <v>80175.97418918465</v>
      </c>
      <c r="D876" s="180">
        <v>80175.97418918465</v>
      </c>
    </row>
    <row r="877" spans="2:4" x14ac:dyDescent="0.3">
      <c r="B877" s="11">
        <f t="shared" si="14"/>
        <v>875</v>
      </c>
      <c r="C877" s="11">
        <v>91838.565228750173</v>
      </c>
      <c r="D877" s="180">
        <v>89545.330410053735</v>
      </c>
    </row>
    <row r="878" spans="2:4" x14ac:dyDescent="0.3">
      <c r="B878" s="11">
        <f t="shared" si="14"/>
        <v>876</v>
      </c>
      <c r="C878" s="11">
        <v>106581.23423942114</v>
      </c>
      <c r="D878" s="180">
        <v>106581.23423942114</v>
      </c>
    </row>
    <row r="879" spans="2:4" x14ac:dyDescent="0.3">
      <c r="B879" s="11">
        <f t="shared" si="14"/>
        <v>877</v>
      </c>
      <c r="C879" s="11">
        <v>128227.95068269769</v>
      </c>
      <c r="D879" s="180">
        <v>128227.95068269769</v>
      </c>
    </row>
    <row r="880" spans="2:4" x14ac:dyDescent="0.3">
      <c r="B880" s="11">
        <f t="shared" si="14"/>
        <v>878</v>
      </c>
      <c r="C880" s="11">
        <v>103200.16478772258</v>
      </c>
      <c r="D880" s="180">
        <v>103200.16478772258</v>
      </c>
    </row>
    <row r="881" spans="2:4" x14ac:dyDescent="0.3">
      <c r="B881" s="11">
        <f t="shared" si="14"/>
        <v>879</v>
      </c>
      <c r="C881" s="11">
        <v>117219.68409542994</v>
      </c>
      <c r="D881" s="180">
        <v>117219.68409542994</v>
      </c>
    </row>
    <row r="882" spans="2:4" x14ac:dyDescent="0.3">
      <c r="B882" s="11">
        <f t="shared" si="14"/>
        <v>880</v>
      </c>
      <c r="C882" s="11">
        <v>129125.83624972551</v>
      </c>
      <c r="D882" s="180">
        <v>129125.83624972551</v>
      </c>
    </row>
    <row r="883" spans="2:4" x14ac:dyDescent="0.3">
      <c r="B883" s="11">
        <f t="shared" si="14"/>
        <v>881</v>
      </c>
      <c r="C883" s="11">
        <v>86864.214953779156</v>
      </c>
      <c r="D883" s="180">
        <v>86864.214953779156</v>
      </c>
    </row>
    <row r="884" spans="2:4" x14ac:dyDescent="0.3">
      <c r="B884" s="11">
        <f t="shared" si="14"/>
        <v>882</v>
      </c>
      <c r="C884" s="11">
        <v>100219.0117295731</v>
      </c>
      <c r="D884" s="180">
        <v>100219.0117295731</v>
      </c>
    </row>
    <row r="885" spans="2:4" x14ac:dyDescent="0.3">
      <c r="B885" s="11">
        <f t="shared" si="14"/>
        <v>883</v>
      </c>
      <c r="C885" s="11">
        <v>100707.26269816907</v>
      </c>
      <c r="D885" s="180">
        <v>102748.56320324045</v>
      </c>
    </row>
    <row r="886" spans="2:4" x14ac:dyDescent="0.3">
      <c r="B886" s="11">
        <f t="shared" si="14"/>
        <v>884</v>
      </c>
      <c r="C886" s="11">
        <v>86301.195386909254</v>
      </c>
      <c r="D886" s="180">
        <v>86301.195386909254</v>
      </c>
    </row>
    <row r="887" spans="2:4" x14ac:dyDescent="0.3">
      <c r="B887" s="11">
        <f t="shared" si="14"/>
        <v>885</v>
      </c>
      <c r="C887" s="11">
        <v>88440.658205233442</v>
      </c>
      <c r="D887" s="180">
        <v>88440.658205233442</v>
      </c>
    </row>
    <row r="888" spans="2:4" x14ac:dyDescent="0.3">
      <c r="B888" s="11">
        <f t="shared" si="14"/>
        <v>886</v>
      </c>
      <c r="C888" s="11">
        <v>81948.813217540548</v>
      </c>
      <c r="D888" s="180">
        <v>81948.813217540548</v>
      </c>
    </row>
    <row r="889" spans="2:4" x14ac:dyDescent="0.3">
      <c r="B889" s="11">
        <f t="shared" si="14"/>
        <v>887</v>
      </c>
      <c r="C889" s="11">
        <v>116271.81697164416</v>
      </c>
      <c r="D889" s="180">
        <v>116271.81697164416</v>
      </c>
    </row>
    <row r="890" spans="2:4" x14ac:dyDescent="0.3">
      <c r="B890" s="11">
        <f t="shared" si="14"/>
        <v>888</v>
      </c>
      <c r="C890" s="11">
        <v>92910.68972056752</v>
      </c>
      <c r="D890" s="180">
        <v>92910.68972056752</v>
      </c>
    </row>
    <row r="891" spans="2:4" x14ac:dyDescent="0.3">
      <c r="B891" s="11">
        <f t="shared" si="14"/>
        <v>889</v>
      </c>
      <c r="C891" s="11">
        <v>91320.408774355368</v>
      </c>
      <c r="D891" s="180">
        <v>91320.408774355368</v>
      </c>
    </row>
    <row r="892" spans="2:4" x14ac:dyDescent="0.3">
      <c r="B892" s="11">
        <f t="shared" si="14"/>
        <v>890</v>
      </c>
      <c r="C892" s="11">
        <v>86641.09006192215</v>
      </c>
      <c r="D892" s="180">
        <v>86641.09006192215</v>
      </c>
    </row>
    <row r="893" spans="2:4" x14ac:dyDescent="0.3">
      <c r="B893" s="11">
        <f t="shared" si="14"/>
        <v>891</v>
      </c>
      <c r="C893" s="11">
        <v>86534.914155217935</v>
      </c>
      <c r="D893" s="180">
        <v>86534.914155217935</v>
      </c>
    </row>
    <row r="894" spans="2:4" x14ac:dyDescent="0.3">
      <c r="B894" s="11">
        <f t="shared" si="14"/>
        <v>892</v>
      </c>
      <c r="C894" s="11">
        <v>93062.462856108556</v>
      </c>
      <c r="D894" s="180">
        <v>93062.462856108556</v>
      </c>
    </row>
    <row r="895" spans="2:4" x14ac:dyDescent="0.3">
      <c r="B895" s="11">
        <f t="shared" si="14"/>
        <v>893</v>
      </c>
      <c r="C895" s="11">
        <v>95088.233180380761</v>
      </c>
      <c r="D895" s="180">
        <v>93375.95899940659</v>
      </c>
    </row>
    <row r="896" spans="2:4" x14ac:dyDescent="0.3">
      <c r="B896" s="11">
        <f t="shared" si="14"/>
        <v>894</v>
      </c>
      <c r="C896" s="11">
        <v>121835.67280239445</v>
      </c>
      <c r="D896" s="180">
        <v>121835.67280239445</v>
      </c>
    </row>
    <row r="897" spans="2:4" x14ac:dyDescent="0.3">
      <c r="B897" s="11">
        <f t="shared" si="14"/>
        <v>895</v>
      </c>
      <c r="C897" s="11">
        <v>100475.10896924671</v>
      </c>
      <c r="D897" s="180">
        <v>100475.10896924671</v>
      </c>
    </row>
    <row r="898" spans="2:4" x14ac:dyDescent="0.3">
      <c r="B898" s="11">
        <f t="shared" si="14"/>
        <v>896</v>
      </c>
      <c r="C898" s="11">
        <v>111637.47820201056</v>
      </c>
      <c r="D898" s="180">
        <v>111637.47820201056</v>
      </c>
    </row>
    <row r="899" spans="2:4" x14ac:dyDescent="0.3">
      <c r="B899" s="11">
        <f t="shared" si="14"/>
        <v>897</v>
      </c>
      <c r="C899" s="11">
        <v>107504.88506124614</v>
      </c>
      <c r="D899" s="180">
        <v>107504.88506124614</v>
      </c>
    </row>
    <row r="900" spans="2:4" x14ac:dyDescent="0.3">
      <c r="B900" s="11">
        <f t="shared" si="14"/>
        <v>898</v>
      </c>
      <c r="C900" s="11">
        <v>56511.639453671727</v>
      </c>
      <c r="D900" s="180">
        <v>54245.06443309848</v>
      </c>
    </row>
    <row r="901" spans="2:4" x14ac:dyDescent="0.3">
      <c r="B901" s="11">
        <f t="shared" ref="B901:B964" si="15">B900+1</f>
        <v>899</v>
      </c>
      <c r="C901" s="11">
        <v>89492.303921134109</v>
      </c>
      <c r="D901" s="180">
        <v>89492.303921134109</v>
      </c>
    </row>
    <row r="902" spans="2:4" x14ac:dyDescent="0.3">
      <c r="B902" s="11">
        <f t="shared" si="15"/>
        <v>900</v>
      </c>
      <c r="C902" s="11">
        <v>118743.99875910301</v>
      </c>
      <c r="D902" s="180">
        <v>118743.99875910301</v>
      </c>
    </row>
    <row r="903" spans="2:4" x14ac:dyDescent="0.3">
      <c r="B903" s="11">
        <f t="shared" si="15"/>
        <v>901</v>
      </c>
      <c r="C903" s="11">
        <v>98595.801739836694</v>
      </c>
      <c r="D903" s="180">
        <v>98595.801739836694</v>
      </c>
    </row>
    <row r="904" spans="2:4" x14ac:dyDescent="0.3">
      <c r="B904" s="11">
        <f t="shared" si="15"/>
        <v>902</v>
      </c>
      <c r="C904" s="11">
        <v>91720.395470319199</v>
      </c>
      <c r="D904" s="180">
        <v>91720.395470319199</v>
      </c>
    </row>
    <row r="905" spans="2:4" x14ac:dyDescent="0.3">
      <c r="B905" s="11">
        <f t="shared" si="15"/>
        <v>903</v>
      </c>
      <c r="C905" s="11">
        <v>79387.076314107209</v>
      </c>
      <c r="D905" s="180">
        <v>79387.076314107209</v>
      </c>
    </row>
    <row r="906" spans="2:4" x14ac:dyDescent="0.3">
      <c r="B906" s="11">
        <f t="shared" si="15"/>
        <v>904</v>
      </c>
      <c r="C906" s="11">
        <v>85579.392389832239</v>
      </c>
      <c r="D906" s="180">
        <v>85579.392389832239</v>
      </c>
    </row>
    <row r="907" spans="2:4" x14ac:dyDescent="0.3">
      <c r="B907" s="11">
        <f t="shared" si="15"/>
        <v>905</v>
      </c>
      <c r="C907" s="11">
        <v>94650.991047137664</v>
      </c>
      <c r="D907" s="180">
        <v>94650.991047137664</v>
      </c>
    </row>
    <row r="908" spans="2:4" x14ac:dyDescent="0.3">
      <c r="B908" s="11">
        <f t="shared" si="15"/>
        <v>906</v>
      </c>
      <c r="C908" s="11">
        <v>125703.79962132925</v>
      </c>
      <c r="D908" s="180">
        <v>125703.79962132925</v>
      </c>
    </row>
    <row r="909" spans="2:4" x14ac:dyDescent="0.3">
      <c r="B909" s="11">
        <f t="shared" si="15"/>
        <v>907</v>
      </c>
      <c r="C909" s="11">
        <v>68399.522982319439</v>
      </c>
      <c r="D909" s="180">
        <v>68399.522982319439</v>
      </c>
    </row>
    <row r="910" spans="2:4" x14ac:dyDescent="0.3">
      <c r="B910" s="11">
        <f t="shared" si="15"/>
        <v>908</v>
      </c>
      <c r="C910" s="11">
        <v>106915.72900631487</v>
      </c>
      <c r="D910" s="180">
        <v>106915.72900631487</v>
      </c>
    </row>
    <row r="911" spans="2:4" x14ac:dyDescent="0.3">
      <c r="B911" s="11">
        <f t="shared" si="15"/>
        <v>909</v>
      </c>
      <c r="C911" s="11">
        <v>67787.858339473823</v>
      </c>
      <c r="D911" s="180">
        <v>67787.858339473823</v>
      </c>
    </row>
    <row r="912" spans="2:4" x14ac:dyDescent="0.3">
      <c r="B912" s="11">
        <f t="shared" si="15"/>
        <v>910</v>
      </c>
      <c r="C912" s="11">
        <v>94467.028149522564</v>
      </c>
      <c r="D912" s="180">
        <v>94467.028149522564</v>
      </c>
    </row>
    <row r="913" spans="2:4" x14ac:dyDescent="0.3">
      <c r="B913" s="11">
        <f t="shared" si="15"/>
        <v>911</v>
      </c>
      <c r="C913" s="11">
        <v>101494.232474552</v>
      </c>
      <c r="D913" s="180">
        <v>101494.232474552</v>
      </c>
    </row>
    <row r="914" spans="2:4" x14ac:dyDescent="0.3">
      <c r="B914" s="11">
        <f t="shared" si="15"/>
        <v>912</v>
      </c>
      <c r="C914" s="11">
        <v>108747.29663238772</v>
      </c>
      <c r="D914" s="180">
        <v>108747.29663238772</v>
      </c>
    </row>
    <row r="915" spans="2:4" x14ac:dyDescent="0.3">
      <c r="B915" s="11">
        <f t="shared" si="15"/>
        <v>913</v>
      </c>
      <c r="C915" s="11">
        <v>97599.367814394223</v>
      </c>
      <c r="D915" s="180">
        <v>97599.367814394223</v>
      </c>
    </row>
    <row r="916" spans="2:4" x14ac:dyDescent="0.3">
      <c r="B916" s="11">
        <f t="shared" si="15"/>
        <v>914</v>
      </c>
      <c r="C916" s="11">
        <v>105292.17891183584</v>
      </c>
      <c r="D916" s="180">
        <v>105292.17891183584</v>
      </c>
    </row>
    <row r="917" spans="2:4" x14ac:dyDescent="0.3">
      <c r="B917" s="11">
        <f t="shared" si="15"/>
        <v>915</v>
      </c>
      <c r="C917" s="11">
        <v>103007.76857127655</v>
      </c>
      <c r="D917" s="180">
        <v>103007.76857127655</v>
      </c>
    </row>
    <row r="918" spans="2:4" x14ac:dyDescent="0.3">
      <c r="B918" s="11">
        <f t="shared" si="15"/>
        <v>916</v>
      </c>
      <c r="C918" s="11">
        <v>73539.604733321874</v>
      </c>
      <c r="D918" s="180">
        <v>73539.604733321874</v>
      </c>
    </row>
    <row r="919" spans="2:4" x14ac:dyDescent="0.3">
      <c r="B919" s="11">
        <f t="shared" si="15"/>
        <v>917</v>
      </c>
      <c r="C919" s="11">
        <v>135884.32516571417</v>
      </c>
      <c r="D919" s="180">
        <v>135884.32516571417</v>
      </c>
    </row>
    <row r="920" spans="2:4" x14ac:dyDescent="0.3">
      <c r="B920" s="11">
        <f t="shared" si="15"/>
        <v>918</v>
      </c>
      <c r="C920" s="11">
        <v>117752.4739780895</v>
      </c>
      <c r="D920" s="180">
        <v>118720.70848682626</v>
      </c>
    </row>
    <row r="921" spans="2:4" x14ac:dyDescent="0.3">
      <c r="B921" s="11">
        <f t="shared" si="15"/>
        <v>919</v>
      </c>
      <c r="C921" s="11">
        <v>65492.79027226066</v>
      </c>
      <c r="D921" s="180">
        <v>65492.79027226066</v>
      </c>
    </row>
    <row r="922" spans="2:4" x14ac:dyDescent="0.3">
      <c r="B922" s="11">
        <f t="shared" si="15"/>
        <v>920</v>
      </c>
      <c r="C922" s="11">
        <v>73762.953654850629</v>
      </c>
      <c r="D922" s="180">
        <v>73762.953654850629</v>
      </c>
    </row>
    <row r="923" spans="2:4" x14ac:dyDescent="0.3">
      <c r="B923" s="11">
        <f t="shared" si="15"/>
        <v>921</v>
      </c>
      <c r="C923" s="11">
        <v>101820.17738065739</v>
      </c>
      <c r="D923" s="180">
        <v>101820.17738065739</v>
      </c>
    </row>
    <row r="924" spans="2:4" x14ac:dyDescent="0.3">
      <c r="B924" s="11">
        <f t="shared" si="15"/>
        <v>922</v>
      </c>
      <c r="C924" s="11">
        <v>63404.31884368731</v>
      </c>
      <c r="D924" s="180">
        <v>63404.31884368731</v>
      </c>
    </row>
    <row r="925" spans="2:4" x14ac:dyDescent="0.3">
      <c r="B925" s="11">
        <f t="shared" si="15"/>
        <v>923</v>
      </c>
      <c r="C925" s="11">
        <v>93878.54700047923</v>
      </c>
      <c r="D925" s="180">
        <v>93878.54700047923</v>
      </c>
    </row>
    <row r="926" spans="2:4" x14ac:dyDescent="0.3">
      <c r="B926" s="11">
        <f t="shared" si="15"/>
        <v>924</v>
      </c>
      <c r="C926" s="11">
        <v>100522.96871824126</v>
      </c>
      <c r="D926" s="180">
        <v>100522.96871824126</v>
      </c>
    </row>
    <row r="927" spans="2:4" x14ac:dyDescent="0.3">
      <c r="B927" s="11">
        <f t="shared" si="15"/>
        <v>925</v>
      </c>
      <c r="C927" s="11">
        <v>117820.54083069123</v>
      </c>
      <c r="D927" s="180">
        <v>120037.27409610979</v>
      </c>
    </row>
    <row r="928" spans="2:4" x14ac:dyDescent="0.3">
      <c r="B928" s="11">
        <f t="shared" si="15"/>
        <v>926</v>
      </c>
      <c r="C928" s="11">
        <v>116961.61949426422</v>
      </c>
      <c r="D928" s="180">
        <v>116961.61949426422</v>
      </c>
    </row>
    <row r="929" spans="2:4" x14ac:dyDescent="0.3">
      <c r="B929" s="11">
        <f t="shared" si="15"/>
        <v>927</v>
      </c>
      <c r="C929" s="11">
        <v>77538.609664097428</v>
      </c>
      <c r="D929" s="180">
        <v>75123.398415942283</v>
      </c>
    </row>
    <row r="930" spans="2:4" x14ac:dyDescent="0.3">
      <c r="B930" s="11">
        <f t="shared" si="15"/>
        <v>928</v>
      </c>
      <c r="C930" s="11">
        <v>112643.55611640937</v>
      </c>
      <c r="D930" s="180">
        <v>112643.55611640937</v>
      </c>
    </row>
    <row r="931" spans="2:4" x14ac:dyDescent="0.3">
      <c r="B931" s="11">
        <f t="shared" si="15"/>
        <v>929</v>
      </c>
      <c r="C931" s="11">
        <v>90205.929454732439</v>
      </c>
      <c r="D931" s="180">
        <v>90205.929454732439</v>
      </c>
    </row>
    <row r="932" spans="2:4" x14ac:dyDescent="0.3">
      <c r="B932" s="11">
        <f t="shared" si="15"/>
        <v>930</v>
      </c>
      <c r="C932" s="11">
        <v>103605.28251746231</v>
      </c>
      <c r="D932" s="180">
        <v>103605.28251746231</v>
      </c>
    </row>
    <row r="933" spans="2:4" x14ac:dyDescent="0.3">
      <c r="B933" s="11">
        <f t="shared" si="15"/>
        <v>931</v>
      </c>
      <c r="C933" s="11">
        <v>90045.555288288349</v>
      </c>
      <c r="D933" s="180">
        <v>90045.555288288349</v>
      </c>
    </row>
    <row r="934" spans="2:4" x14ac:dyDescent="0.3">
      <c r="B934" s="11">
        <f t="shared" si="15"/>
        <v>932</v>
      </c>
      <c r="C934" s="11">
        <v>86252.993439298079</v>
      </c>
      <c r="D934" s="180">
        <v>86252.993439298079</v>
      </c>
    </row>
    <row r="935" spans="2:4" x14ac:dyDescent="0.3">
      <c r="B935" s="11">
        <f t="shared" si="15"/>
        <v>933</v>
      </c>
      <c r="C935" s="11">
        <v>89827.551539557142</v>
      </c>
      <c r="D935" s="180">
        <v>89827.551539557142</v>
      </c>
    </row>
    <row r="936" spans="2:4" x14ac:dyDescent="0.3">
      <c r="B936" s="11">
        <f t="shared" si="15"/>
        <v>934</v>
      </c>
      <c r="C936" s="11">
        <v>81078.271969006251</v>
      </c>
      <c r="D936" s="180">
        <v>81078.271969006251</v>
      </c>
    </row>
    <row r="937" spans="2:4" x14ac:dyDescent="0.3">
      <c r="B937" s="11">
        <f t="shared" si="15"/>
        <v>935</v>
      </c>
      <c r="C937" s="11">
        <v>133101.17516338525</v>
      </c>
      <c r="D937" s="180">
        <v>133101.17516338525</v>
      </c>
    </row>
    <row r="938" spans="2:4" x14ac:dyDescent="0.3">
      <c r="B938" s="11">
        <f t="shared" si="15"/>
        <v>936</v>
      </c>
      <c r="C938" s="11">
        <v>112794.92075037204</v>
      </c>
      <c r="D938" s="180">
        <v>112794.92075037204</v>
      </c>
    </row>
    <row r="939" spans="2:4" x14ac:dyDescent="0.3">
      <c r="B939" s="11">
        <f t="shared" si="15"/>
        <v>937</v>
      </c>
      <c r="C939" s="11">
        <v>116499.19487182696</v>
      </c>
      <c r="D939" s="180">
        <v>116499.19487182696</v>
      </c>
    </row>
    <row r="940" spans="2:4" x14ac:dyDescent="0.3">
      <c r="B940" s="11">
        <f t="shared" si="15"/>
        <v>938</v>
      </c>
      <c r="C940" s="11">
        <v>95327.128096016138</v>
      </c>
      <c r="D940" s="180">
        <v>95327.128096016138</v>
      </c>
    </row>
    <row r="941" spans="2:4" x14ac:dyDescent="0.3">
      <c r="B941" s="11">
        <f t="shared" si="15"/>
        <v>939</v>
      </c>
      <c r="C941" s="11">
        <v>82525.367867612687</v>
      </c>
      <c r="D941" s="180">
        <v>82525.367867612687</v>
      </c>
    </row>
    <row r="942" spans="2:4" x14ac:dyDescent="0.3">
      <c r="B942" s="11">
        <f t="shared" si="15"/>
        <v>940</v>
      </c>
      <c r="C942" s="11">
        <v>101568.36961441954</v>
      </c>
      <c r="D942" s="180">
        <v>101568.36961441954</v>
      </c>
    </row>
    <row r="943" spans="2:4" x14ac:dyDescent="0.3">
      <c r="B943" s="11">
        <f t="shared" si="15"/>
        <v>941</v>
      </c>
      <c r="C943" s="11">
        <v>91316.792287487624</v>
      </c>
      <c r="D943" s="180">
        <v>91316.792287487624</v>
      </c>
    </row>
    <row r="944" spans="2:4" x14ac:dyDescent="0.3">
      <c r="B944" s="11">
        <f t="shared" si="15"/>
        <v>942</v>
      </c>
      <c r="C944" s="11">
        <v>106419.63890366269</v>
      </c>
      <c r="D944" s="180">
        <v>106419.63890366269</v>
      </c>
    </row>
    <row r="945" spans="2:4" x14ac:dyDescent="0.3">
      <c r="B945" s="11">
        <f t="shared" si="15"/>
        <v>943</v>
      </c>
      <c r="C945" s="11">
        <v>81505.090453686367</v>
      </c>
      <c r="D945" s="180">
        <v>80548.277985898938</v>
      </c>
    </row>
    <row r="946" spans="2:4" x14ac:dyDescent="0.3">
      <c r="B946" s="11">
        <f t="shared" si="15"/>
        <v>944</v>
      </c>
      <c r="C946" s="11">
        <v>84676.398567025593</v>
      </c>
      <c r="D946" s="180">
        <v>84676.398567025593</v>
      </c>
    </row>
    <row r="947" spans="2:4" x14ac:dyDescent="0.3">
      <c r="B947" s="11">
        <f t="shared" si="15"/>
        <v>945</v>
      </c>
      <c r="C947" s="11">
        <v>95910.975299128462</v>
      </c>
      <c r="D947" s="180">
        <v>95910.975299128462</v>
      </c>
    </row>
    <row r="948" spans="2:4" x14ac:dyDescent="0.3">
      <c r="B948" s="11">
        <f t="shared" si="15"/>
        <v>946</v>
      </c>
      <c r="C948" s="11">
        <v>120690.44851733913</v>
      </c>
      <c r="D948" s="180">
        <v>120690.44851733913</v>
      </c>
    </row>
    <row r="949" spans="2:4" x14ac:dyDescent="0.3">
      <c r="B949" s="11">
        <f t="shared" si="15"/>
        <v>947</v>
      </c>
      <c r="C949" s="11">
        <v>93860.963835204733</v>
      </c>
      <c r="D949" s="180">
        <v>93860.963835204733</v>
      </c>
    </row>
    <row r="950" spans="2:4" x14ac:dyDescent="0.3">
      <c r="B950" s="11">
        <f t="shared" si="15"/>
        <v>948</v>
      </c>
      <c r="C950" s="11">
        <v>93855.634611533344</v>
      </c>
      <c r="D950" s="180">
        <v>93855.634611533344</v>
      </c>
    </row>
    <row r="951" spans="2:4" x14ac:dyDescent="0.3">
      <c r="B951" s="11">
        <f t="shared" si="15"/>
        <v>949</v>
      </c>
      <c r="C951" s="11">
        <v>94683.698903114957</v>
      </c>
      <c r="D951" s="180">
        <v>94683.698903114957</v>
      </c>
    </row>
    <row r="952" spans="2:4" x14ac:dyDescent="0.3">
      <c r="B952" s="11">
        <f t="shared" si="15"/>
        <v>950</v>
      </c>
      <c r="C952" s="11">
        <v>85475.180415432056</v>
      </c>
      <c r="D952" s="180">
        <v>85475.180415432056</v>
      </c>
    </row>
    <row r="953" spans="2:4" x14ac:dyDescent="0.3">
      <c r="B953" s="11">
        <f t="shared" si="15"/>
        <v>951</v>
      </c>
      <c r="C953" s="11">
        <v>77324.094178980013</v>
      </c>
      <c r="D953" s="180">
        <v>77324.094178980013</v>
      </c>
    </row>
    <row r="954" spans="2:4" x14ac:dyDescent="0.3">
      <c r="B954" s="11">
        <f t="shared" si="15"/>
        <v>952</v>
      </c>
      <c r="C954" s="11">
        <v>96235.764826582803</v>
      </c>
      <c r="D954" s="180">
        <v>96235.764826582803</v>
      </c>
    </row>
    <row r="955" spans="2:4" x14ac:dyDescent="0.3">
      <c r="B955" s="11">
        <f t="shared" si="15"/>
        <v>953</v>
      </c>
      <c r="C955" s="11">
        <v>99421.262486830674</v>
      </c>
      <c r="D955" s="180">
        <v>99421.262486830674</v>
      </c>
    </row>
    <row r="956" spans="2:4" x14ac:dyDescent="0.3">
      <c r="B956" s="11">
        <f t="shared" si="15"/>
        <v>954</v>
      </c>
      <c r="C956" s="11">
        <v>86072.454883469385</v>
      </c>
      <c r="D956" s="180">
        <v>86072.454883469385</v>
      </c>
    </row>
    <row r="957" spans="2:4" x14ac:dyDescent="0.3">
      <c r="B957" s="11">
        <f t="shared" si="15"/>
        <v>955</v>
      </c>
      <c r="C957" s="11">
        <v>68660.582297090383</v>
      </c>
      <c r="D957" s="180">
        <v>68660.582297090383</v>
      </c>
    </row>
    <row r="958" spans="2:4" x14ac:dyDescent="0.3">
      <c r="B958" s="11">
        <f t="shared" si="15"/>
        <v>956</v>
      </c>
      <c r="C958" s="11">
        <v>87913.314892217531</v>
      </c>
      <c r="D958" s="180">
        <v>86312.422696335532</v>
      </c>
    </row>
    <row r="959" spans="2:4" x14ac:dyDescent="0.3">
      <c r="B959" s="11">
        <f t="shared" si="15"/>
        <v>957</v>
      </c>
      <c r="C959" s="11">
        <v>94940.46449892383</v>
      </c>
      <c r="D959" s="180">
        <v>94940.46449892383</v>
      </c>
    </row>
    <row r="960" spans="2:4" x14ac:dyDescent="0.3">
      <c r="B960" s="11">
        <f t="shared" si="15"/>
        <v>958</v>
      </c>
      <c r="C960" s="11">
        <v>92170.969284320774</v>
      </c>
      <c r="D960" s="180">
        <v>92170.969284320774</v>
      </c>
    </row>
    <row r="961" spans="2:4" x14ac:dyDescent="0.3">
      <c r="B961" s="11">
        <f t="shared" si="15"/>
        <v>959</v>
      </c>
      <c r="C961" s="11">
        <v>86020.772319033073</v>
      </c>
      <c r="D961" s="180">
        <v>86020.772319033073</v>
      </c>
    </row>
    <row r="962" spans="2:4" x14ac:dyDescent="0.3">
      <c r="B962" s="11">
        <f t="shared" si="15"/>
        <v>960</v>
      </c>
      <c r="C962" s="11">
        <v>99116.271007119023</v>
      </c>
      <c r="D962" s="180">
        <v>99116.271007119023</v>
      </c>
    </row>
    <row r="963" spans="2:4" x14ac:dyDescent="0.3">
      <c r="B963" s="11">
        <f t="shared" si="15"/>
        <v>961</v>
      </c>
      <c r="C963" s="11">
        <v>115373.71109846808</v>
      </c>
      <c r="D963" s="180">
        <v>115373.71109846808</v>
      </c>
    </row>
    <row r="964" spans="2:4" x14ac:dyDescent="0.3">
      <c r="B964" s="11">
        <f t="shared" si="15"/>
        <v>962</v>
      </c>
      <c r="C964" s="11">
        <v>75659.785830799548</v>
      </c>
      <c r="D964" s="180">
        <v>75659.785830799548</v>
      </c>
    </row>
    <row r="965" spans="2:4" x14ac:dyDescent="0.3">
      <c r="B965" s="11">
        <f t="shared" ref="B965:B1002" si="16">B964+1</f>
        <v>963</v>
      </c>
      <c r="C965" s="11">
        <v>88991.502186790589</v>
      </c>
      <c r="D965" s="180">
        <v>87679.600927008738</v>
      </c>
    </row>
    <row r="966" spans="2:4" x14ac:dyDescent="0.3">
      <c r="B966" s="11">
        <f t="shared" si="16"/>
        <v>964</v>
      </c>
      <c r="C966" s="11">
        <v>120472.02378660081</v>
      </c>
      <c r="D966" s="180">
        <v>120472.02378660081</v>
      </c>
    </row>
    <row r="967" spans="2:4" x14ac:dyDescent="0.3">
      <c r="B967" s="11">
        <f t="shared" si="16"/>
        <v>965</v>
      </c>
      <c r="C967" s="11">
        <v>102783.36129824063</v>
      </c>
      <c r="D967" s="180">
        <v>102783.36129824063</v>
      </c>
    </row>
    <row r="968" spans="2:4" x14ac:dyDescent="0.3">
      <c r="B968" s="11">
        <f t="shared" si="16"/>
        <v>966</v>
      </c>
      <c r="C968" s="11">
        <v>94754.106150974942</v>
      </c>
      <c r="D968" s="180">
        <v>94754.106150974942</v>
      </c>
    </row>
    <row r="969" spans="2:4" x14ac:dyDescent="0.3">
      <c r="B969" s="11">
        <f t="shared" si="16"/>
        <v>967</v>
      </c>
      <c r="C969" s="11">
        <v>108740.83746597618</v>
      </c>
      <c r="D969" s="180">
        <v>110324.45377838089</v>
      </c>
    </row>
    <row r="970" spans="2:4" x14ac:dyDescent="0.3">
      <c r="B970" s="11">
        <f t="shared" si="16"/>
        <v>968</v>
      </c>
      <c r="C970" s="11">
        <v>109578.55429146021</v>
      </c>
      <c r="D970" s="180">
        <v>109578.55429146021</v>
      </c>
    </row>
    <row r="971" spans="2:4" x14ac:dyDescent="0.3">
      <c r="B971" s="11">
        <f t="shared" si="16"/>
        <v>969</v>
      </c>
      <c r="C971" s="11">
        <v>82028.124815418108</v>
      </c>
      <c r="D971" s="180">
        <v>82028.124815418108</v>
      </c>
    </row>
    <row r="972" spans="2:4" x14ac:dyDescent="0.3">
      <c r="B972" s="11">
        <f t="shared" si="16"/>
        <v>970</v>
      </c>
      <c r="C972" s="11">
        <v>102900.36243904382</v>
      </c>
      <c r="D972" s="180">
        <v>102900.36243904382</v>
      </c>
    </row>
    <row r="973" spans="2:4" x14ac:dyDescent="0.3">
      <c r="B973" s="11">
        <f t="shared" si="16"/>
        <v>971</v>
      </c>
      <c r="C973" s="11">
        <v>84980.932774975256</v>
      </c>
      <c r="D973" s="180">
        <v>84980.932774975256</v>
      </c>
    </row>
    <row r="974" spans="2:4" x14ac:dyDescent="0.3">
      <c r="B974" s="11">
        <f t="shared" si="16"/>
        <v>972</v>
      </c>
      <c r="C974" s="11">
        <v>85275.940937452149</v>
      </c>
      <c r="D974" s="180">
        <v>82979.936060652122</v>
      </c>
    </row>
    <row r="975" spans="2:4" x14ac:dyDescent="0.3">
      <c r="B975" s="11">
        <f t="shared" si="16"/>
        <v>973</v>
      </c>
      <c r="C975" s="11">
        <v>103384.88721734233</v>
      </c>
      <c r="D975" s="180">
        <v>103384.88721734233</v>
      </c>
    </row>
    <row r="976" spans="2:4" x14ac:dyDescent="0.3">
      <c r="B976" s="11">
        <f t="shared" si="16"/>
        <v>974</v>
      </c>
      <c r="C976" s="11">
        <v>86187.892000816486</v>
      </c>
      <c r="D976" s="180">
        <v>86187.892000816486</v>
      </c>
    </row>
    <row r="977" spans="2:4" x14ac:dyDescent="0.3">
      <c r="B977" s="11">
        <f t="shared" si="16"/>
        <v>975</v>
      </c>
      <c r="C977" s="11">
        <v>141286.02353511265</v>
      </c>
      <c r="D977" s="180">
        <v>141286.02353511265</v>
      </c>
    </row>
    <row r="978" spans="2:4" x14ac:dyDescent="0.3">
      <c r="B978" s="11">
        <f t="shared" si="16"/>
        <v>976</v>
      </c>
      <c r="C978" s="11">
        <v>146885.63812399621</v>
      </c>
      <c r="D978" s="180">
        <v>146885.63812399621</v>
      </c>
    </row>
    <row r="979" spans="2:4" x14ac:dyDescent="0.3">
      <c r="B979" s="11">
        <f t="shared" si="16"/>
        <v>977</v>
      </c>
      <c r="C979" s="11">
        <v>106563.84937108884</v>
      </c>
      <c r="D979" s="180">
        <v>106563.84937108884</v>
      </c>
    </row>
    <row r="980" spans="2:4" x14ac:dyDescent="0.3">
      <c r="B980" s="11">
        <f t="shared" si="16"/>
        <v>978</v>
      </c>
      <c r="C980" s="11">
        <v>77093.62934384642</v>
      </c>
      <c r="D980" s="180">
        <v>77093.62934384642</v>
      </c>
    </row>
    <row r="981" spans="2:4" x14ac:dyDescent="0.3">
      <c r="B981" s="11">
        <f t="shared" si="16"/>
        <v>979</v>
      </c>
      <c r="C981" s="11">
        <v>98163.800651464568</v>
      </c>
      <c r="D981" s="180">
        <v>98163.800651464568</v>
      </c>
    </row>
    <row r="982" spans="2:4" x14ac:dyDescent="0.3">
      <c r="B982" s="11">
        <f t="shared" si="16"/>
        <v>980</v>
      </c>
      <c r="C982" s="11">
        <v>92745.362902270892</v>
      </c>
      <c r="D982" s="180">
        <v>92745.362902270892</v>
      </c>
    </row>
    <row r="983" spans="2:4" x14ac:dyDescent="0.3">
      <c r="B983" s="11">
        <f t="shared" si="16"/>
        <v>981</v>
      </c>
      <c r="C983" s="11">
        <v>73328.464961299149</v>
      </c>
      <c r="D983" s="180">
        <v>73328.464961299149</v>
      </c>
    </row>
    <row r="984" spans="2:4" x14ac:dyDescent="0.3">
      <c r="B984" s="11">
        <f t="shared" si="16"/>
        <v>982</v>
      </c>
      <c r="C984" s="11">
        <v>85998.13450020914</v>
      </c>
      <c r="D984" s="180">
        <v>85998.13450020914</v>
      </c>
    </row>
    <row r="985" spans="2:4" x14ac:dyDescent="0.3">
      <c r="B985" s="11">
        <f t="shared" si="16"/>
        <v>983</v>
      </c>
      <c r="C985" s="11">
        <v>95106.589457180249</v>
      </c>
      <c r="D985" s="180">
        <v>95106.589457180249</v>
      </c>
    </row>
    <row r="986" spans="2:4" x14ac:dyDescent="0.3">
      <c r="B986" s="11">
        <f t="shared" si="16"/>
        <v>984</v>
      </c>
      <c r="C986" s="11">
        <v>79514.326175311042</v>
      </c>
      <c r="D986" s="180">
        <v>76592.305398877375</v>
      </c>
    </row>
    <row r="987" spans="2:4" x14ac:dyDescent="0.3">
      <c r="B987" s="11">
        <f t="shared" si="16"/>
        <v>985</v>
      </c>
      <c r="C987" s="11">
        <v>105031.6893839238</v>
      </c>
      <c r="D987" s="180">
        <v>105031.6893839238</v>
      </c>
    </row>
    <row r="988" spans="2:4" x14ac:dyDescent="0.3">
      <c r="B988" s="11">
        <f t="shared" si="16"/>
        <v>986</v>
      </c>
      <c r="C988" s="11">
        <v>95023.190398922685</v>
      </c>
      <c r="D988" s="180">
        <v>91712.465978251217</v>
      </c>
    </row>
    <row r="989" spans="2:4" x14ac:dyDescent="0.3">
      <c r="B989" s="11">
        <f t="shared" si="16"/>
        <v>987</v>
      </c>
      <c r="C989" s="11">
        <v>75779.792775837646</v>
      </c>
      <c r="D989" s="180">
        <v>75779.792775837646</v>
      </c>
    </row>
    <row r="990" spans="2:4" x14ac:dyDescent="0.3">
      <c r="B990" s="11">
        <f t="shared" si="16"/>
        <v>988</v>
      </c>
      <c r="C990" s="11">
        <v>103018.37732821146</v>
      </c>
      <c r="D990" s="180">
        <v>105422.48620263478</v>
      </c>
    </row>
    <row r="991" spans="2:4" x14ac:dyDescent="0.3">
      <c r="B991" s="11">
        <f t="shared" si="16"/>
        <v>989</v>
      </c>
      <c r="C991" s="11">
        <v>119076.85155083716</v>
      </c>
      <c r="D991" s="180">
        <v>119076.85155083716</v>
      </c>
    </row>
    <row r="992" spans="2:4" x14ac:dyDescent="0.3">
      <c r="B992" s="11">
        <f t="shared" si="16"/>
        <v>990</v>
      </c>
      <c r="C992" s="11">
        <v>137394.48772672468</v>
      </c>
      <c r="D992" s="180">
        <v>139123.70355921006</v>
      </c>
    </row>
    <row r="993" spans="2:4" x14ac:dyDescent="0.3">
      <c r="B993" s="11">
        <f t="shared" si="16"/>
        <v>991</v>
      </c>
      <c r="C993" s="11">
        <v>92349.799019923448</v>
      </c>
      <c r="D993" s="180">
        <v>96105.092616552109</v>
      </c>
    </row>
    <row r="994" spans="2:4" x14ac:dyDescent="0.3">
      <c r="B994" s="11">
        <f t="shared" si="16"/>
        <v>992</v>
      </c>
      <c r="C994" s="11">
        <v>63256.167886756724</v>
      </c>
      <c r="D994" s="180">
        <v>60663.822171072345</v>
      </c>
    </row>
    <row r="995" spans="2:4" x14ac:dyDescent="0.3">
      <c r="B995" s="11">
        <f t="shared" si="16"/>
        <v>993</v>
      </c>
      <c r="C995" s="11">
        <v>108882.38942526866</v>
      </c>
      <c r="D995" s="180">
        <v>108882.38942526866</v>
      </c>
    </row>
    <row r="996" spans="2:4" x14ac:dyDescent="0.3">
      <c r="B996" s="11">
        <f t="shared" si="16"/>
        <v>994</v>
      </c>
      <c r="C996" s="11">
        <v>106519.83164714472</v>
      </c>
      <c r="D996" s="180">
        <v>106519.83164714472</v>
      </c>
    </row>
    <row r="997" spans="2:4" x14ac:dyDescent="0.3">
      <c r="B997" s="11">
        <f t="shared" si="16"/>
        <v>995</v>
      </c>
      <c r="C997" s="11">
        <v>86084.29477909347</v>
      </c>
      <c r="D997" s="180">
        <v>86084.29477909347</v>
      </c>
    </row>
    <row r="998" spans="2:4" x14ac:dyDescent="0.3">
      <c r="B998" s="11">
        <f t="shared" si="16"/>
        <v>996</v>
      </c>
      <c r="C998" s="11">
        <v>102000.11818650617</v>
      </c>
      <c r="D998" s="180">
        <v>102000.11818650617</v>
      </c>
    </row>
    <row r="999" spans="2:4" x14ac:dyDescent="0.3">
      <c r="B999" s="11">
        <f t="shared" si="16"/>
        <v>997</v>
      </c>
      <c r="C999" s="11">
        <v>81001.383913558209</v>
      </c>
      <c r="D999" s="180">
        <v>81001.383913558209</v>
      </c>
    </row>
    <row r="1000" spans="2:4" x14ac:dyDescent="0.3">
      <c r="B1000" s="11">
        <f t="shared" si="16"/>
        <v>998</v>
      </c>
      <c r="C1000" s="11">
        <v>87595.52448604966</v>
      </c>
      <c r="D1000" s="180">
        <v>87595.52448604966</v>
      </c>
    </row>
    <row r="1001" spans="2:4" x14ac:dyDescent="0.3">
      <c r="B1001" s="11">
        <f t="shared" si="16"/>
        <v>999</v>
      </c>
      <c r="C1001" s="11">
        <v>69391.950433467835</v>
      </c>
      <c r="D1001" s="180">
        <v>68141.669256498339</v>
      </c>
    </row>
    <row r="1002" spans="2:4" x14ac:dyDescent="0.3">
      <c r="B1002" s="11">
        <f t="shared" si="16"/>
        <v>1000</v>
      </c>
      <c r="C1002" s="11">
        <v>97790.895165483817</v>
      </c>
      <c r="D1002" s="180">
        <v>97790.895165483817</v>
      </c>
    </row>
  </sheetData>
  <mergeCells count="5">
    <mergeCell ref="H18:I18"/>
    <mergeCell ref="J18:K18"/>
    <mergeCell ref="F23:F25"/>
    <mergeCell ref="H13:I13"/>
    <mergeCell ref="J13:K1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1:E34"/>
  <sheetViews>
    <sheetView topLeftCell="A8" zoomScaleNormal="100" workbookViewId="0">
      <selection activeCell="E25" sqref="E25"/>
    </sheetView>
  </sheetViews>
  <sheetFormatPr defaultRowHeight="14.4" x14ac:dyDescent="0.3"/>
  <cols>
    <col min="1" max="1" width="41.5546875" bestFit="1" customWidth="1"/>
    <col min="2" max="2" width="12.77734375" bestFit="1" customWidth="1"/>
    <col min="3" max="3" width="9.21875" bestFit="1" customWidth="1"/>
    <col min="4" max="4" width="17.77734375" bestFit="1" customWidth="1"/>
    <col min="5" max="6" width="11.21875" bestFit="1" customWidth="1"/>
  </cols>
  <sheetData>
    <row r="1" spans="1:3" x14ac:dyDescent="0.3">
      <c r="A1" s="11" t="s">
        <v>70</v>
      </c>
      <c r="B1" s="181">
        <f>'POISSON-LOGNORM'!B3</f>
        <v>400</v>
      </c>
    </row>
    <row r="2" spans="1:3" x14ac:dyDescent="0.3">
      <c r="A2" s="11" t="s">
        <v>122</v>
      </c>
      <c r="B2" s="181">
        <f>'POISSON-LOGNORM'!B2*'SINGOLO SINISTRO'!H2</f>
        <v>237.03204243735081</v>
      </c>
    </row>
    <row r="3" spans="1:3" x14ac:dyDescent="0.3">
      <c r="A3" s="11" t="s">
        <v>121</v>
      </c>
      <c r="B3" s="180">
        <f>B1*B2</f>
        <v>94812.816974940331</v>
      </c>
    </row>
    <row r="4" spans="1:3" x14ac:dyDescent="0.3">
      <c r="A4" s="11" t="s">
        <v>100</v>
      </c>
      <c r="B4" s="181">
        <f>'DANNO AGGREGATO'!K24</f>
        <v>105034.34882660338</v>
      </c>
      <c r="C4" t="s">
        <v>80</v>
      </c>
    </row>
    <row r="5" spans="1:3" x14ac:dyDescent="0.3">
      <c r="A5" s="11" t="s">
        <v>101</v>
      </c>
      <c r="B5" s="181">
        <f>B4/B1</f>
        <v>262.58587206650844</v>
      </c>
    </row>
    <row r="6" spans="1:3" x14ac:dyDescent="0.3">
      <c r="A6" s="11" t="s">
        <v>118</v>
      </c>
      <c r="B6" s="185">
        <f>B4-B3</f>
        <v>10221.53185166305</v>
      </c>
    </row>
    <row r="7" spans="1:3" x14ac:dyDescent="0.3">
      <c r="A7" s="11" t="s">
        <v>106</v>
      </c>
      <c r="B7" s="181">
        <f>'DANNO AGGREGATO'!K25</f>
        <v>138707.70504699121</v>
      </c>
      <c r="C7" t="s">
        <v>125</v>
      </c>
    </row>
    <row r="8" spans="1:3" x14ac:dyDescent="0.3">
      <c r="A8" s="11" t="s">
        <v>107</v>
      </c>
      <c r="B8" s="181">
        <f>'DANNO AGGREGATO'!K29</f>
        <v>144386.18718870741</v>
      </c>
      <c r="C8" t="s">
        <v>22</v>
      </c>
    </row>
    <row r="9" spans="1:3" x14ac:dyDescent="0.3">
      <c r="A9" s="11" t="s">
        <v>102</v>
      </c>
      <c r="B9" s="181">
        <f>C9*B3</f>
        <v>18962.563394988068</v>
      </c>
      <c r="C9" s="184">
        <v>0.2</v>
      </c>
    </row>
    <row r="10" spans="1:3" x14ac:dyDescent="0.3">
      <c r="A10" s="187" t="s">
        <v>104</v>
      </c>
      <c r="B10" s="188">
        <f>B7+B9</f>
        <v>157670.26844197928</v>
      </c>
      <c r="C10" s="117"/>
    </row>
    <row r="11" spans="1:3" x14ac:dyDescent="0.3">
      <c r="A11" s="11" t="s">
        <v>105</v>
      </c>
      <c r="B11" s="181">
        <f>B8+B9</f>
        <v>163348.75058369548</v>
      </c>
    </row>
    <row r="12" spans="1:3" x14ac:dyDescent="0.3">
      <c r="A12" s="11" t="s">
        <v>97</v>
      </c>
      <c r="B12" s="181">
        <f>B4+B9</f>
        <v>123996.91222159145</v>
      </c>
    </row>
    <row r="13" spans="1:3" x14ac:dyDescent="0.3">
      <c r="A13" s="187" t="s">
        <v>99</v>
      </c>
      <c r="B13" s="188">
        <f>B10-B12</f>
        <v>33673.356220387825</v>
      </c>
    </row>
    <row r="14" spans="1:3" x14ac:dyDescent="0.3">
      <c r="A14" s="11" t="s">
        <v>98</v>
      </c>
      <c r="B14" s="169">
        <f>3*0.1*B12</f>
        <v>37199.073666477445</v>
      </c>
    </row>
    <row r="15" spans="1:3" x14ac:dyDescent="0.3">
      <c r="A15" s="11" t="s">
        <v>103</v>
      </c>
      <c r="B15" s="186">
        <f>B11-B12</f>
        <v>39351.838362104027</v>
      </c>
      <c r="C15" s="190">
        <f>B15-B14</f>
        <v>2152.7646956265817</v>
      </c>
    </row>
    <row r="16" spans="1:3" x14ac:dyDescent="0.3">
      <c r="A16" s="11" t="s">
        <v>108</v>
      </c>
      <c r="B16" s="182">
        <f>B13*0.06/(1+0.01)</f>
        <v>2000.39739923096</v>
      </c>
    </row>
    <row r="17" spans="1:5" x14ac:dyDescent="0.3">
      <c r="A17" s="11" t="s">
        <v>109</v>
      </c>
      <c r="B17" s="182">
        <f t="shared" ref="B17:B18" si="0">B14*0.06/(1+0.01)</f>
        <v>2209.8459603847987</v>
      </c>
    </row>
    <row r="18" spans="1:5" x14ac:dyDescent="0.3">
      <c r="A18" s="11" t="s">
        <v>110</v>
      </c>
      <c r="B18" s="182">
        <f t="shared" si="0"/>
        <v>2337.7329720061798</v>
      </c>
    </row>
    <row r="19" spans="1:5" x14ac:dyDescent="0.3">
      <c r="A19" s="11" t="s">
        <v>111</v>
      </c>
      <c r="B19" s="27">
        <f>($B$6-B16)/B13</f>
        <v>0.24414360120879586</v>
      </c>
    </row>
    <row r="20" spans="1:5" x14ac:dyDescent="0.3">
      <c r="A20" s="11" t="s">
        <v>112</v>
      </c>
      <c r="B20" s="27">
        <f t="shared" ref="B20:B21" si="1">($B$6-B17)/B14</f>
        <v>0.21537326340731205</v>
      </c>
    </row>
    <row r="21" spans="1:5" x14ac:dyDescent="0.3">
      <c r="A21" s="11" t="s">
        <v>113</v>
      </c>
      <c r="B21" s="27">
        <f t="shared" si="1"/>
        <v>0.20034131079499959</v>
      </c>
    </row>
    <row r="22" spans="1:5" x14ac:dyDescent="0.3">
      <c r="A22" s="11" t="s">
        <v>117</v>
      </c>
      <c r="B22" s="121">
        <v>30000</v>
      </c>
    </row>
    <row r="23" spans="1:5" x14ac:dyDescent="0.3">
      <c r="A23" s="11" t="s">
        <v>114</v>
      </c>
      <c r="B23" s="27">
        <f>B6/B3</f>
        <v>0.10780749035612633</v>
      </c>
    </row>
    <row r="24" spans="1:5" x14ac:dyDescent="0.3">
      <c r="A24" s="11" t="s">
        <v>115</v>
      </c>
      <c r="B24" s="27">
        <f>'DANNO AGGREGATO'!I16/'DANNO AGGREGATO'!I15</f>
        <v>0.17261661509404186</v>
      </c>
      <c r="D24" s="180" t="s">
        <v>120</v>
      </c>
      <c r="E24" s="180">
        <f>B22+B4</f>
        <v>135034.34882660338</v>
      </c>
    </row>
    <row r="25" spans="1:5" x14ac:dyDescent="0.3">
      <c r="A25" s="11" t="s">
        <v>116</v>
      </c>
      <c r="B25" s="191">
        <f>(B22+B6)/'DANNO AGGREGATO'!I16</f>
        <v>2.4593273715898918</v>
      </c>
      <c r="D25" s="180" t="s">
        <v>131</v>
      </c>
      <c r="E25" s="180">
        <f>PERCENTILE('DANNO AGGREGATO'!D3:D1002,'RISULTATI '!E26)</f>
        <v>135034.34999999928</v>
      </c>
    </row>
    <row r="26" spans="1:5" x14ac:dyDescent="0.3">
      <c r="A26" s="11" t="s">
        <v>119</v>
      </c>
      <c r="B26" s="231">
        <f>E27</f>
        <v>1.0319616201137971E-2</v>
      </c>
      <c r="D26" s="180" t="s">
        <v>123</v>
      </c>
      <c r="E26" s="183">
        <v>0.98968038379886203</v>
      </c>
    </row>
    <row r="27" spans="1:5" x14ac:dyDescent="0.3">
      <c r="A27" s="187" t="s">
        <v>124</v>
      </c>
      <c r="B27" s="189">
        <f>$B$22/B13</f>
        <v>0.89091208502217079</v>
      </c>
      <c r="D27" s="193" t="s">
        <v>132</v>
      </c>
      <c r="E27" s="194">
        <f>1-E26</f>
        <v>1.0319616201137971E-2</v>
      </c>
    </row>
    <row r="28" spans="1:5" x14ac:dyDescent="0.3">
      <c r="A28" s="11" t="s">
        <v>126</v>
      </c>
      <c r="B28" s="192">
        <v>0.1</v>
      </c>
    </row>
    <row r="29" spans="1:5" x14ac:dyDescent="0.3">
      <c r="A29" s="11" t="s">
        <v>127</v>
      </c>
      <c r="B29" s="27">
        <f>B30/B31</f>
        <v>0.14383020667256408</v>
      </c>
    </row>
    <row r="30" spans="1:5" x14ac:dyDescent="0.3">
      <c r="A30" s="11" t="s">
        <v>128</v>
      </c>
      <c r="B30" s="15">
        <f>'DANNO AGGREGATO'!I16</f>
        <v>16354.687999776486</v>
      </c>
      <c r="D30" s="11" t="s">
        <v>134</v>
      </c>
      <c r="E30" s="182">
        <f>B4</f>
        <v>105034.34882660338</v>
      </c>
    </row>
    <row r="31" spans="1:5" x14ac:dyDescent="0.3">
      <c r="A31" s="11" t="s">
        <v>129</v>
      </c>
      <c r="B31" s="182">
        <f>'DANNO AGGREGATO'!I15+'RISULTATI '!B9</f>
        <v>113708.29798644916</v>
      </c>
      <c r="D31" s="182" t="str">
        <f>D25</f>
        <v>PERCENTILE DI S</v>
      </c>
      <c r="E31" s="15">
        <f>PERCENTILE('DANNO AGGREGATO'!D3:D1002,'RISULTATI '!E32)</f>
        <v>105034.35</v>
      </c>
    </row>
    <row r="32" spans="1:5" x14ac:dyDescent="0.3">
      <c r="A32" s="11" t="s">
        <v>130</v>
      </c>
      <c r="B32" s="27">
        <f>'DANNO AGGREGATO'!I16/('DANNO AGGREGATO'!I15+'RISULTATI '!B9)</f>
        <v>0.14383020667256408</v>
      </c>
      <c r="D32" s="182" t="s">
        <v>135</v>
      </c>
      <c r="E32" s="27">
        <v>0.75000011041516457</v>
      </c>
    </row>
    <row r="33" spans="1:5" x14ac:dyDescent="0.3">
      <c r="A33" s="11" t="s">
        <v>133</v>
      </c>
      <c r="B33" s="192">
        <f>E33</f>
        <v>0.24999988958483543</v>
      </c>
      <c r="D33" s="182" t="s">
        <v>136</v>
      </c>
      <c r="E33" s="27">
        <f>1-E32</f>
        <v>0.24999988958483543</v>
      </c>
    </row>
    <row r="34" spans="1:5" x14ac:dyDescent="0.3">
      <c r="A34" s="11" t="s">
        <v>137</v>
      </c>
      <c r="B34" s="196">
        <f>1/(1+B25^2)</f>
        <v>0.14187836212809588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A6BB1-C034-4E0F-810D-0A98CAABD452}">
  <sheetPr codeName="Foglio7"/>
  <dimension ref="A1:M1001"/>
  <sheetViews>
    <sheetView tabSelected="1" workbookViewId="0">
      <selection activeCell="E3" sqref="E3"/>
    </sheetView>
  </sheetViews>
  <sheetFormatPr defaultRowHeight="14.4" x14ac:dyDescent="0.3"/>
  <cols>
    <col min="1" max="1" width="26.44140625" bestFit="1" customWidth="1"/>
    <col min="2" max="2" width="11.109375" bestFit="1" customWidth="1"/>
    <col min="3" max="3" width="13.21875" bestFit="1" customWidth="1"/>
    <col min="6" max="6" width="41.5546875" bestFit="1" customWidth="1"/>
    <col min="7" max="7" width="22" bestFit="1" customWidth="1"/>
    <col min="8" max="8" width="11.77734375" style="201" bestFit="1" customWidth="1"/>
    <col min="9" max="9" width="11.33203125" style="201" bestFit="1" customWidth="1"/>
    <col min="11" max="11" width="11.109375" bestFit="1" customWidth="1"/>
    <col min="12" max="12" width="20.44140625" bestFit="1" customWidth="1"/>
    <col min="13" max="13" width="11.109375" bestFit="1" customWidth="1"/>
  </cols>
  <sheetData>
    <row r="1" spans="1:13" x14ac:dyDescent="0.3">
      <c r="A1" s="197" t="s">
        <v>146</v>
      </c>
      <c r="B1" s="249" t="s">
        <v>144</v>
      </c>
      <c r="C1" s="249"/>
      <c r="D1" s="249"/>
      <c r="E1" s="249"/>
      <c r="G1" s="11" t="s">
        <v>153</v>
      </c>
      <c r="H1" s="119" t="s">
        <v>154</v>
      </c>
      <c r="K1" s="11" t="s">
        <v>15</v>
      </c>
      <c r="L1" s="11" t="s">
        <v>147</v>
      </c>
      <c r="M1" s="11" t="s">
        <v>148</v>
      </c>
    </row>
    <row r="2" spans="1:13" x14ac:dyDescent="0.3">
      <c r="F2" s="11" t="s">
        <v>70</v>
      </c>
      <c r="G2" s="181">
        <f>H2</f>
        <v>400</v>
      </c>
      <c r="H2" s="181">
        <f>'RISULTATI '!B1</f>
        <v>400</v>
      </c>
      <c r="I2" s="200"/>
      <c r="K2" s="198">
        <f>'DANNO AGGREGATO'!D3</f>
        <v>91229.364094685181</v>
      </c>
      <c r="L2" s="15">
        <f>IF(K2&lt;=$B$9,K2,$B$9)</f>
        <v>91229.364094685181</v>
      </c>
      <c r="M2" s="15">
        <f>K2-L2</f>
        <v>0</v>
      </c>
    </row>
    <row r="3" spans="1:13" x14ac:dyDescent="0.3">
      <c r="A3" s="11" t="s">
        <v>142</v>
      </c>
      <c r="B3" s="15">
        <f>'RISULTATI '!B12</f>
        <v>123996.91222159145</v>
      </c>
      <c r="F3" s="11" t="s">
        <v>122</v>
      </c>
      <c r="G3" s="181">
        <f>G4/G2</f>
        <v>229.8284939008507</v>
      </c>
      <c r="H3" s="181">
        <f>'RISULTATI '!B2</f>
        <v>237.03204243735081</v>
      </c>
      <c r="I3" s="200">
        <f>G3-H3</f>
        <v>-7.203548536500108</v>
      </c>
      <c r="K3" s="198">
        <f>'DANNO AGGREGATO'!D4</f>
        <v>93619.965451902695</v>
      </c>
      <c r="L3" s="15">
        <f t="shared" ref="L3:L66" si="0">IF(K3&lt;=$B$9,K3,$B$9)</f>
        <v>93619.965451902695</v>
      </c>
      <c r="M3" s="15">
        <f t="shared" ref="M3:M66" si="1">K3-L3</f>
        <v>0</v>
      </c>
    </row>
    <row r="4" spans="1:13" x14ac:dyDescent="0.3">
      <c r="A4" s="11" t="s">
        <v>141</v>
      </c>
      <c r="B4" s="15">
        <f>'RISULTATI '!B9</f>
        <v>18962.563394988068</v>
      </c>
      <c r="C4" s="234"/>
      <c r="F4" s="11" t="s">
        <v>121</v>
      </c>
      <c r="G4" s="180">
        <f>AVERAGE(L2:L1001)</f>
        <v>91931.39756034028</v>
      </c>
      <c r="H4" s="180">
        <f>'RISULTATI '!B3</f>
        <v>94812.816974940331</v>
      </c>
      <c r="I4" s="200"/>
      <c r="K4" s="198">
        <f>'DANNO AGGREGATO'!D5</f>
        <v>88160.329788251998</v>
      </c>
      <c r="L4" s="15">
        <f t="shared" si="0"/>
        <v>88160.329788251998</v>
      </c>
      <c r="M4" s="15">
        <f t="shared" si="1"/>
        <v>0</v>
      </c>
    </row>
    <row r="5" spans="1:13" x14ac:dyDescent="0.3">
      <c r="A5" s="11" t="s">
        <v>139</v>
      </c>
      <c r="B5" s="27">
        <f>B9/B3</f>
        <v>0.84707229353340185</v>
      </c>
      <c r="F5" s="11" t="s">
        <v>100</v>
      </c>
      <c r="G5" s="181"/>
      <c r="H5" s="181">
        <f>'RISULTATI '!B4</f>
        <v>105034.34882660338</v>
      </c>
      <c r="I5" s="200"/>
      <c r="K5" s="228">
        <f>'DANNO AGGREGATO'!D6</f>
        <v>114325.18651055591</v>
      </c>
      <c r="L5" s="229">
        <f t="shared" si="0"/>
        <v>105034.34882660338</v>
      </c>
      <c r="M5" s="15">
        <f t="shared" si="1"/>
        <v>9290.8376839525299</v>
      </c>
    </row>
    <row r="6" spans="1:13" x14ac:dyDescent="0.3">
      <c r="A6" s="11" t="s">
        <v>143</v>
      </c>
      <c r="B6" s="27">
        <f>B4/B3</f>
        <v>0.15292770646659809</v>
      </c>
      <c r="F6" s="11" t="s">
        <v>101</v>
      </c>
      <c r="G6" s="181"/>
      <c r="H6" s="181">
        <f>'RISULTATI '!B5</f>
        <v>262.58587206650844</v>
      </c>
      <c r="I6" s="200"/>
      <c r="K6" s="198">
        <f>'DANNO AGGREGATO'!D7</f>
        <v>124270.79941790752</v>
      </c>
      <c r="L6" s="15">
        <f t="shared" si="0"/>
        <v>105034.34882660338</v>
      </c>
      <c r="M6" s="15">
        <f t="shared" si="1"/>
        <v>19236.450591304136</v>
      </c>
    </row>
    <row r="7" spans="1:13" x14ac:dyDescent="0.3">
      <c r="A7" s="11" t="s">
        <v>140</v>
      </c>
      <c r="B7" s="192">
        <f>B6+B5</f>
        <v>1</v>
      </c>
      <c r="F7" s="11" t="s">
        <v>118</v>
      </c>
      <c r="G7" s="185">
        <f>H7-B15</f>
        <v>6392.6858839503129</v>
      </c>
      <c r="H7" s="185">
        <f>'RISULTATI '!B6</f>
        <v>10221.53185166305</v>
      </c>
      <c r="I7" s="200">
        <f>G7-H7</f>
        <v>-3828.8459677127375</v>
      </c>
      <c r="K7" s="198">
        <f>'DANNO AGGREGATO'!D8</f>
        <v>75193.167804348108</v>
      </c>
      <c r="L7" s="15">
        <f t="shared" si="0"/>
        <v>75193.167804348108</v>
      </c>
      <c r="M7" s="15">
        <f t="shared" si="1"/>
        <v>0</v>
      </c>
    </row>
    <row r="8" spans="1:13" x14ac:dyDescent="0.3">
      <c r="A8" s="11" t="s">
        <v>145</v>
      </c>
      <c r="B8" s="227">
        <v>0.74996717585024086</v>
      </c>
      <c r="C8" s="230"/>
      <c r="F8" s="11" t="s">
        <v>106</v>
      </c>
      <c r="G8" s="181">
        <f>PERCENTILE(L2:L1001,0.995)</f>
        <v>105034.34882660338</v>
      </c>
      <c r="H8" s="181">
        <f>'RISULTATI '!B7</f>
        <v>138707.70504699121</v>
      </c>
      <c r="I8" s="200"/>
      <c r="K8" s="198">
        <f>'DANNO AGGREGATO'!D9</f>
        <v>126931.33788721003</v>
      </c>
      <c r="L8" s="15">
        <f t="shared" si="0"/>
        <v>105034.34882660338</v>
      </c>
      <c r="M8" s="15">
        <f t="shared" si="1"/>
        <v>21896.989060606647</v>
      </c>
    </row>
    <row r="9" spans="1:13" x14ac:dyDescent="0.3">
      <c r="A9" s="11" t="s">
        <v>138</v>
      </c>
      <c r="B9" s="175">
        <f>B3-B4</f>
        <v>105034.34882660338</v>
      </c>
      <c r="C9" s="180">
        <f>PERCENTILE('DANNO AGGREGATO'!D3:D1002,'XL AGGREGATE'!B8)</f>
        <v>105034</v>
      </c>
      <c r="F9" s="11"/>
      <c r="G9" s="181"/>
      <c r="H9" s="181"/>
      <c r="I9" s="200"/>
      <c r="K9" s="198">
        <f>'DANNO AGGREGATO'!D10</f>
        <v>90630.866801157244</v>
      </c>
      <c r="L9" s="15">
        <f t="shared" si="0"/>
        <v>90630.866801157244</v>
      </c>
      <c r="M9" s="15">
        <f t="shared" si="1"/>
        <v>0</v>
      </c>
    </row>
    <row r="10" spans="1:13" x14ac:dyDescent="0.3">
      <c r="F10" s="11" t="s">
        <v>102</v>
      </c>
      <c r="G10" s="181">
        <f>H10</f>
        <v>18962.563394988068</v>
      </c>
      <c r="H10" s="181">
        <f>'RISULTATI '!B9</f>
        <v>18962.563394988068</v>
      </c>
      <c r="I10" s="200"/>
      <c r="K10" s="198">
        <f>'DANNO AGGREGATO'!D11</f>
        <v>101510.34338638633</v>
      </c>
      <c r="L10" s="15">
        <f t="shared" si="0"/>
        <v>101510.34338638633</v>
      </c>
      <c r="M10" s="15">
        <f t="shared" si="1"/>
        <v>0</v>
      </c>
    </row>
    <row r="11" spans="1:13" x14ac:dyDescent="0.3">
      <c r="F11" s="187" t="s">
        <v>104</v>
      </c>
      <c r="G11" s="188">
        <f>G8+G10</f>
        <v>123996.91222159145</v>
      </c>
      <c r="H11" s="188">
        <f>'RISULTATI '!B10</f>
        <v>157670.26844197928</v>
      </c>
      <c r="I11" s="200"/>
      <c r="K11" s="198">
        <f>'DANNO AGGREGATO'!D12</f>
        <v>106139.64344218513</v>
      </c>
      <c r="L11" s="15">
        <f t="shared" si="0"/>
        <v>105034.34882660338</v>
      </c>
      <c r="M11" s="15">
        <f t="shared" si="1"/>
        <v>1105.2946155817481</v>
      </c>
    </row>
    <row r="12" spans="1:13" x14ac:dyDescent="0.3">
      <c r="A12" s="11" t="s">
        <v>149</v>
      </c>
      <c r="B12" s="232">
        <f>AVERAGE(M2:M1001)</f>
        <v>2814.3370311205158</v>
      </c>
      <c r="F12" s="11"/>
      <c r="G12" s="181"/>
      <c r="H12" s="181"/>
      <c r="I12" s="200"/>
      <c r="K12" s="198">
        <f>'DANNO AGGREGATO'!D13</f>
        <v>122687.28498593948</v>
      </c>
      <c r="L12" s="15">
        <f t="shared" si="0"/>
        <v>105034.34882660338</v>
      </c>
      <c r="M12" s="15">
        <f t="shared" si="1"/>
        <v>17652.936159336095</v>
      </c>
    </row>
    <row r="13" spans="1:13" x14ac:dyDescent="0.3">
      <c r="A13" s="11" t="s">
        <v>150</v>
      </c>
      <c r="B13" s="229">
        <f>PERCENTILE(M2:M1001,0.8)</f>
        <v>3265.9785614886341</v>
      </c>
      <c r="F13" s="11" t="s">
        <v>97</v>
      </c>
      <c r="G13" s="181">
        <f>H13-B15</f>
        <v>120168.06625387871</v>
      </c>
      <c r="H13" s="181">
        <f>'RISULTATI '!B12</f>
        <v>123996.91222159145</v>
      </c>
      <c r="I13" s="200"/>
      <c r="K13" s="198">
        <f>'DANNO AGGREGATO'!D14</f>
        <v>100239.57480825603</v>
      </c>
      <c r="L13" s="15">
        <f t="shared" si="0"/>
        <v>100239.57480825603</v>
      </c>
      <c r="M13" s="15">
        <f t="shared" si="1"/>
        <v>0</v>
      </c>
    </row>
    <row r="14" spans="1:13" x14ac:dyDescent="0.3">
      <c r="A14" s="11" t="s">
        <v>151</v>
      </c>
      <c r="B14" s="199">
        <f>0.2*B12</f>
        <v>562.86740622410321</v>
      </c>
      <c r="F14" s="187" t="s">
        <v>99</v>
      </c>
      <c r="G14" s="188">
        <f>G11-G13</f>
        <v>3828.8459677127394</v>
      </c>
      <c r="H14" s="188">
        <f>'RISULTATI '!B13</f>
        <v>33673.356220387825</v>
      </c>
      <c r="I14" s="200">
        <f>G14-H14</f>
        <v>-29844.510252675085</v>
      </c>
      <c r="K14" s="198">
        <f>'DANNO AGGREGATO'!D15</f>
        <v>79497.013176059118</v>
      </c>
      <c r="L14" s="15">
        <f t="shared" si="0"/>
        <v>79497.013176059118</v>
      </c>
      <c r="M14" s="15">
        <f t="shared" si="1"/>
        <v>0</v>
      </c>
    </row>
    <row r="15" spans="1:13" x14ac:dyDescent="0.3">
      <c r="A15" s="11" t="s">
        <v>152</v>
      </c>
      <c r="B15" s="233">
        <f>B13+B14</f>
        <v>3828.8459677127375</v>
      </c>
      <c r="C15" s="117">
        <f>B15/B3</f>
        <v>3.0878558982745576E-2</v>
      </c>
      <c r="F15" s="11" t="s">
        <v>98</v>
      </c>
      <c r="G15" s="169">
        <f>3*0.1*G13*0.8</f>
        <v>28840.335900930899</v>
      </c>
      <c r="H15" s="169">
        <f>'RISULTATI '!B14</f>
        <v>37199.073666477445</v>
      </c>
      <c r="I15" s="200">
        <f>G15-H15</f>
        <v>-8358.7377655465461</v>
      </c>
      <c r="K15" s="198">
        <f>'DANNO AGGREGATO'!D16</f>
        <v>108389.84696882839</v>
      </c>
      <c r="L15" s="15">
        <f t="shared" si="0"/>
        <v>105034.34882660338</v>
      </c>
      <c r="M15" s="15">
        <f t="shared" si="1"/>
        <v>3355.498142225013</v>
      </c>
    </row>
    <row r="16" spans="1:13" x14ac:dyDescent="0.3">
      <c r="F16" s="119"/>
      <c r="G16" s="209"/>
      <c r="H16" s="209"/>
      <c r="I16" s="202"/>
      <c r="K16" s="198">
        <f>'DANNO AGGREGATO'!D17</f>
        <v>106924.0868265006</v>
      </c>
      <c r="L16" s="15">
        <f t="shared" si="0"/>
        <v>105034.34882660338</v>
      </c>
      <c r="M16" s="15">
        <f t="shared" si="1"/>
        <v>1889.7379998972174</v>
      </c>
    </row>
    <row r="17" spans="6:13" x14ac:dyDescent="0.3">
      <c r="F17" s="11" t="s">
        <v>108</v>
      </c>
      <c r="G17" s="182">
        <f>SMONTAMENTO!D27</f>
        <v>0</v>
      </c>
      <c r="H17" s="182">
        <f>SMONTAMENTO!D26</f>
        <v>0</v>
      </c>
      <c r="I17" s="202">
        <f>G17-H17</f>
        <v>0</v>
      </c>
      <c r="K17" s="198">
        <f>'DANNO AGGREGATO'!D18</f>
        <v>82790.889432528871</v>
      </c>
      <c r="L17" s="15">
        <f t="shared" si="0"/>
        <v>82790.889432528871</v>
      </c>
      <c r="M17" s="15">
        <f t="shared" si="1"/>
        <v>0</v>
      </c>
    </row>
    <row r="18" spans="6:13" x14ac:dyDescent="0.3">
      <c r="F18" s="11" t="s">
        <v>109</v>
      </c>
      <c r="G18" s="182">
        <f>SMONTAMENTO!D29</f>
        <v>0</v>
      </c>
      <c r="H18" s="182">
        <f>SMONTAMENTO!D28</f>
        <v>0</v>
      </c>
      <c r="I18" s="202">
        <f>G18-H18</f>
        <v>0</v>
      </c>
      <c r="K18" s="198">
        <f>'DANNO AGGREGATO'!D19</f>
        <v>84841.44604100124</v>
      </c>
      <c r="L18" s="15">
        <f t="shared" si="0"/>
        <v>84841.44604100124</v>
      </c>
      <c r="M18" s="15">
        <f t="shared" si="1"/>
        <v>0</v>
      </c>
    </row>
    <row r="19" spans="6:13" x14ac:dyDescent="0.3">
      <c r="F19" s="11"/>
      <c r="G19" s="182"/>
      <c r="H19" s="182"/>
      <c r="I19" s="202"/>
      <c r="K19" s="198">
        <f>'DANNO AGGREGATO'!D20</f>
        <v>86563.287924011151</v>
      </c>
      <c r="L19" s="15">
        <f t="shared" si="0"/>
        <v>86563.287924011151</v>
      </c>
      <c r="M19" s="15">
        <f t="shared" si="1"/>
        <v>0</v>
      </c>
    </row>
    <row r="20" spans="6:13" x14ac:dyDescent="0.3">
      <c r="F20" s="11" t="s">
        <v>183</v>
      </c>
      <c r="G20" s="27">
        <f>(G7-G17)/G14</f>
        <v>1.669611663111418</v>
      </c>
      <c r="H20" s="27">
        <f>(H7-H17)/H14</f>
        <v>0.30354954180285526</v>
      </c>
      <c r="I20" s="203"/>
      <c r="K20" s="198">
        <f>'DANNO AGGREGATO'!D21</f>
        <v>105364.43191678856</v>
      </c>
      <c r="L20" s="15">
        <f t="shared" si="0"/>
        <v>105034.34882660338</v>
      </c>
      <c r="M20" s="15">
        <f t="shared" si="1"/>
        <v>330.08309018517321</v>
      </c>
    </row>
    <row r="21" spans="6:13" x14ac:dyDescent="0.3">
      <c r="F21" s="11" t="s">
        <v>112</v>
      </c>
      <c r="G21" s="27">
        <f>(G7-G18)/G15</f>
        <v>0.22165781653548536</v>
      </c>
      <c r="H21" s="27">
        <f>(H7-H18)/H15</f>
        <v>0.27477920400137146</v>
      </c>
      <c r="I21" s="203"/>
      <c r="K21" s="198">
        <f>'DANNO AGGREGATO'!D22</f>
        <v>94244.545227072929</v>
      </c>
      <c r="L21" s="15">
        <f t="shared" si="0"/>
        <v>94244.545227072929</v>
      </c>
      <c r="M21" s="15">
        <f t="shared" si="1"/>
        <v>0</v>
      </c>
    </row>
    <row r="22" spans="6:13" x14ac:dyDescent="0.3">
      <c r="F22" s="11" t="s">
        <v>113</v>
      </c>
      <c r="G22" s="27">
        <f>(G7-G17)/G14</f>
        <v>1.669611663111418</v>
      </c>
      <c r="H22" s="27">
        <f>(H7-H18)/H14</f>
        <v>0.30354954180285526</v>
      </c>
      <c r="I22" s="203"/>
      <c r="K22" s="198">
        <f>'DANNO AGGREGATO'!D23</f>
        <v>87613.817864205063</v>
      </c>
      <c r="L22" s="15">
        <f t="shared" si="0"/>
        <v>87613.817864205063</v>
      </c>
      <c r="M22" s="15">
        <f t="shared" si="1"/>
        <v>0</v>
      </c>
    </row>
    <row r="23" spans="6:13" x14ac:dyDescent="0.3">
      <c r="F23" s="11" t="s">
        <v>117</v>
      </c>
      <c r="G23" s="121">
        <v>30000</v>
      </c>
      <c r="H23" s="121">
        <f>'RISULTATI '!B22</f>
        <v>30000</v>
      </c>
      <c r="I23" s="204"/>
      <c r="K23" s="198">
        <f>'DANNO AGGREGATO'!D24</f>
        <v>113545.75626158545</v>
      </c>
      <c r="L23" s="15">
        <f t="shared" si="0"/>
        <v>105034.34882660338</v>
      </c>
      <c r="M23" s="15">
        <f t="shared" si="1"/>
        <v>8511.407434982073</v>
      </c>
    </row>
    <row r="24" spans="6:13" x14ac:dyDescent="0.3">
      <c r="F24" s="11" t="s">
        <v>114</v>
      </c>
      <c r="G24" s="27">
        <f>G7/G4</f>
        <v>6.953756881324899E-2</v>
      </c>
      <c r="H24" s="27">
        <f>'RISULTATI '!B23</f>
        <v>0.10780749035612633</v>
      </c>
      <c r="I24" s="203"/>
      <c r="K24" s="198">
        <f>'DANNO AGGREGATO'!D25</f>
        <v>94083.182713696937</v>
      </c>
      <c r="L24" s="15">
        <f t="shared" si="0"/>
        <v>94083.182713696937</v>
      </c>
      <c r="M24" s="15">
        <f t="shared" si="1"/>
        <v>0</v>
      </c>
    </row>
    <row r="25" spans="6:13" x14ac:dyDescent="0.3">
      <c r="F25" s="11" t="s">
        <v>115</v>
      </c>
      <c r="G25" s="27">
        <f>_xlfn.STDEV.P(L2:L1001)/AVERAGE(L2:L1001)</f>
        <v>0.13310104021746599</v>
      </c>
      <c r="H25" s="27">
        <f>'RISULTATI '!B24</f>
        <v>0.17261661509404186</v>
      </c>
      <c r="I25" s="203"/>
      <c r="K25" s="198">
        <f>'DANNO AGGREGATO'!D26</f>
        <v>109701.57110761009</v>
      </c>
      <c r="L25" s="15">
        <f t="shared" si="0"/>
        <v>105034.34882660338</v>
      </c>
      <c r="M25" s="15">
        <f t="shared" si="1"/>
        <v>4667.2222810067033</v>
      </c>
    </row>
    <row r="26" spans="6:13" x14ac:dyDescent="0.3">
      <c r="F26" s="11" t="s">
        <v>116</v>
      </c>
      <c r="G26" s="191">
        <f>(G23+G7)/_xlfn.STDEV.P(L2:L1001)</f>
        <v>2.9741906016288722</v>
      </c>
      <c r="H26" s="191">
        <f>'RISULTATI '!B25</f>
        <v>2.4593273715898918</v>
      </c>
      <c r="I26" s="205"/>
      <c r="K26" s="198">
        <f>'DANNO AGGREGATO'!D27</f>
        <v>77986.677380321547</v>
      </c>
      <c r="L26" s="15">
        <f t="shared" si="0"/>
        <v>77986.677380321547</v>
      </c>
      <c r="M26" s="15">
        <f t="shared" si="1"/>
        <v>0</v>
      </c>
    </row>
    <row r="27" spans="6:13" x14ac:dyDescent="0.3">
      <c r="F27" s="11" t="s">
        <v>119</v>
      </c>
      <c r="G27" s="231">
        <v>0</v>
      </c>
      <c r="H27" s="195">
        <f>'RISULTATI '!B26</f>
        <v>1.0319616201137971E-2</v>
      </c>
      <c r="I27" s="206"/>
      <c r="K27" s="198">
        <f>'DANNO AGGREGATO'!D28</f>
        <v>83243.45475439672</v>
      </c>
      <c r="L27" s="15">
        <f t="shared" si="0"/>
        <v>83243.45475439672</v>
      </c>
      <c r="M27" s="15">
        <f t="shared" si="1"/>
        <v>0</v>
      </c>
    </row>
    <row r="28" spans="6:13" x14ac:dyDescent="0.3">
      <c r="F28" s="187" t="s">
        <v>174</v>
      </c>
      <c r="G28" s="189">
        <f>G23/G14</f>
        <v>7.8352590448869064</v>
      </c>
      <c r="H28" s="189">
        <f>'RISULTATI '!B27</f>
        <v>0.89091208502217079</v>
      </c>
      <c r="I28" s="203"/>
      <c r="K28" s="198">
        <f>'DANNO AGGREGATO'!D29</f>
        <v>101575.10017879299</v>
      </c>
      <c r="L28" s="15">
        <f t="shared" si="0"/>
        <v>101575.10017879299</v>
      </c>
      <c r="M28" s="15">
        <f t="shared" si="1"/>
        <v>0</v>
      </c>
    </row>
    <row r="29" spans="6:13" x14ac:dyDescent="0.3">
      <c r="F29" s="187" t="s">
        <v>175</v>
      </c>
      <c r="G29" s="226">
        <f>G23/G15</f>
        <v>1.0402097986324657</v>
      </c>
      <c r="H29" s="226">
        <f>H23/H15</f>
        <v>0.80647169520877049</v>
      </c>
      <c r="I29" s="207"/>
      <c r="K29" s="198">
        <f>'DANNO AGGREGATO'!D30</f>
        <v>113049.92298080648</v>
      </c>
      <c r="L29" s="15">
        <f t="shared" si="0"/>
        <v>105034.34882660338</v>
      </c>
      <c r="M29" s="15">
        <f t="shared" si="1"/>
        <v>8015.5741542031028</v>
      </c>
    </row>
    <row r="30" spans="6:13" x14ac:dyDescent="0.3">
      <c r="F30" s="11"/>
      <c r="G30" s="27"/>
      <c r="H30" s="27"/>
      <c r="I30" s="203"/>
      <c r="K30" s="198">
        <f>'DANNO AGGREGATO'!D31</f>
        <v>114181.64111693813</v>
      </c>
      <c r="L30" s="15">
        <f t="shared" si="0"/>
        <v>105034.34882660338</v>
      </c>
      <c r="M30" s="15">
        <f t="shared" si="1"/>
        <v>9147.2922903347499</v>
      </c>
    </row>
    <row r="31" spans="6:13" x14ac:dyDescent="0.3">
      <c r="F31" s="11" t="s">
        <v>176</v>
      </c>
      <c r="G31" s="186">
        <f>G23+G13</f>
        <v>150168.0662538787</v>
      </c>
      <c r="H31" s="204"/>
      <c r="K31" s="198">
        <f>'DANNO AGGREGATO'!D32</f>
        <v>111776.78447182689</v>
      </c>
      <c r="L31" s="15">
        <f t="shared" si="0"/>
        <v>105034.34882660338</v>
      </c>
      <c r="M31" s="15">
        <f t="shared" si="1"/>
        <v>6742.4356452235079</v>
      </c>
    </row>
    <row r="32" spans="6:13" x14ac:dyDescent="0.3">
      <c r="F32" s="11" t="s">
        <v>141</v>
      </c>
      <c r="G32" s="182">
        <f>B4</f>
        <v>18962.563394988068</v>
      </c>
      <c r="H32" s="202"/>
      <c r="K32" s="198">
        <f>'DANNO AGGREGATO'!D33</f>
        <v>66308.449337082653</v>
      </c>
      <c r="L32" s="15">
        <f t="shared" si="0"/>
        <v>66308.449337082653</v>
      </c>
      <c r="M32" s="15">
        <f t="shared" si="1"/>
        <v>0</v>
      </c>
    </row>
    <row r="33" spans="1:13" x14ac:dyDescent="0.3">
      <c r="F33" s="182" t="s">
        <v>181</v>
      </c>
      <c r="G33" s="182">
        <f>PERCENTILE(L2:L1001,G36)</f>
        <v>105034.34882660338</v>
      </c>
      <c r="H33" s="225"/>
      <c r="K33" s="198">
        <f>'DANNO AGGREGATO'!D34</f>
        <v>83286.936281218965</v>
      </c>
      <c r="L33" s="15">
        <f t="shared" si="0"/>
        <v>83286.936281218965</v>
      </c>
      <c r="M33" s="15">
        <f t="shared" si="1"/>
        <v>0</v>
      </c>
    </row>
    <row r="34" spans="1:13" x14ac:dyDescent="0.3">
      <c r="F34" s="11" t="s">
        <v>177</v>
      </c>
      <c r="G34" s="182">
        <f>G32+G33</f>
        <v>123996.91222159145</v>
      </c>
      <c r="H34" s="207"/>
      <c r="K34" s="198">
        <f>'DANNO AGGREGATO'!D35</f>
        <v>117794.07588766383</v>
      </c>
      <c r="L34" s="15">
        <f t="shared" si="0"/>
        <v>105034.34882660338</v>
      </c>
      <c r="M34" s="15">
        <f t="shared" si="1"/>
        <v>12759.727061060446</v>
      </c>
    </row>
    <row r="35" spans="1:13" x14ac:dyDescent="0.3">
      <c r="F35" s="11" t="s">
        <v>178</v>
      </c>
      <c r="G35" s="224">
        <f>G31-G34</f>
        <v>26171.154032287246</v>
      </c>
      <c r="H35" s="208"/>
      <c r="K35" s="198">
        <f>'DANNO AGGREGATO'!D36</f>
        <v>117234.5185690841</v>
      </c>
      <c r="L35" s="15">
        <f t="shared" si="0"/>
        <v>105034.34882660338</v>
      </c>
      <c r="M35" s="15">
        <f t="shared" si="1"/>
        <v>12200.169742480721</v>
      </c>
    </row>
    <row r="36" spans="1:13" x14ac:dyDescent="0.3">
      <c r="F36" s="11" t="s">
        <v>123</v>
      </c>
      <c r="G36" s="192">
        <v>1</v>
      </c>
      <c r="K36" s="198">
        <f>'DANNO AGGREGATO'!D37</f>
        <v>115027.86944829048</v>
      </c>
      <c r="L36" s="15">
        <f t="shared" si="0"/>
        <v>105034.34882660338</v>
      </c>
      <c r="M36" s="15">
        <f t="shared" si="1"/>
        <v>9993.5206216871011</v>
      </c>
    </row>
    <row r="37" spans="1:13" x14ac:dyDescent="0.3">
      <c r="A37" t="s">
        <v>182</v>
      </c>
      <c r="F37" s="11" t="s">
        <v>179</v>
      </c>
      <c r="G37" s="192">
        <f>1-G36</f>
        <v>0</v>
      </c>
      <c r="K37" s="198">
        <f>'DANNO AGGREGATO'!D38</f>
        <v>115241.05978236403</v>
      </c>
      <c r="L37" s="15">
        <f t="shared" si="0"/>
        <v>105034.34882660338</v>
      </c>
      <c r="M37" s="15">
        <f t="shared" si="1"/>
        <v>10206.710955760645</v>
      </c>
    </row>
    <row r="38" spans="1:13" x14ac:dyDescent="0.3">
      <c r="F38" s="182" t="s">
        <v>180</v>
      </c>
      <c r="G38" s="182" t="str">
        <f>IF(G37&lt;=0.5%,"SI","NO")</f>
        <v>SI</v>
      </c>
      <c r="K38" s="198">
        <f>'DANNO AGGREGATO'!D39</f>
        <v>72131.937611452609</v>
      </c>
      <c r="L38" s="15">
        <f t="shared" si="0"/>
        <v>72131.937611452609</v>
      </c>
      <c r="M38" s="15">
        <f t="shared" si="1"/>
        <v>0</v>
      </c>
    </row>
    <row r="39" spans="1:13" x14ac:dyDescent="0.3">
      <c r="K39" s="198">
        <f>'DANNO AGGREGATO'!D40</f>
        <v>70749.774316394949</v>
      </c>
      <c r="L39" s="15">
        <f t="shared" si="0"/>
        <v>70749.774316394949</v>
      </c>
      <c r="M39" s="15">
        <f t="shared" si="1"/>
        <v>0</v>
      </c>
    </row>
    <row r="40" spans="1:13" x14ac:dyDescent="0.3">
      <c r="K40" s="198">
        <f>'DANNO AGGREGATO'!D41</f>
        <v>76375.741410530245</v>
      </c>
      <c r="L40" s="15">
        <f t="shared" si="0"/>
        <v>76375.741410530245</v>
      </c>
      <c r="M40" s="15">
        <f t="shared" si="1"/>
        <v>0</v>
      </c>
    </row>
    <row r="41" spans="1:13" x14ac:dyDescent="0.3">
      <c r="K41" s="198">
        <f>'DANNO AGGREGATO'!D42</f>
        <v>115255.613855751</v>
      </c>
      <c r="L41" s="15">
        <f t="shared" si="0"/>
        <v>105034.34882660338</v>
      </c>
      <c r="M41" s="15">
        <f t="shared" si="1"/>
        <v>10221.265029147617</v>
      </c>
    </row>
    <row r="42" spans="1:13" x14ac:dyDescent="0.3">
      <c r="K42" s="198">
        <f>'DANNO AGGREGATO'!D43</f>
        <v>102937.18559222724</v>
      </c>
      <c r="L42" s="15">
        <f t="shared" si="0"/>
        <v>102937.18559222724</v>
      </c>
      <c r="M42" s="15">
        <f t="shared" si="1"/>
        <v>0</v>
      </c>
    </row>
    <row r="43" spans="1:13" x14ac:dyDescent="0.3">
      <c r="K43" s="198">
        <f>'DANNO AGGREGATO'!D44</f>
        <v>92416.013841120788</v>
      </c>
      <c r="L43" s="15">
        <f t="shared" si="0"/>
        <v>92416.013841120788</v>
      </c>
      <c r="M43" s="15">
        <f t="shared" si="1"/>
        <v>0</v>
      </c>
    </row>
    <row r="44" spans="1:13" x14ac:dyDescent="0.3">
      <c r="K44" s="198">
        <f>'DANNO AGGREGATO'!D45</f>
        <v>84529.22878268201</v>
      </c>
      <c r="L44" s="15">
        <f t="shared" si="0"/>
        <v>84529.22878268201</v>
      </c>
      <c r="M44" s="15">
        <f t="shared" si="1"/>
        <v>0</v>
      </c>
    </row>
    <row r="45" spans="1:13" x14ac:dyDescent="0.3">
      <c r="K45" s="198">
        <f>'DANNO AGGREGATO'!D46</f>
        <v>106127.35009681706</v>
      </c>
      <c r="L45" s="15">
        <f t="shared" si="0"/>
        <v>105034.34882660338</v>
      </c>
      <c r="M45" s="15">
        <f t="shared" si="1"/>
        <v>1093.0012702136737</v>
      </c>
    </row>
    <row r="46" spans="1:13" x14ac:dyDescent="0.3">
      <c r="K46" s="198">
        <f>'DANNO AGGREGATO'!D47</f>
        <v>91956.517530728786</v>
      </c>
      <c r="L46" s="15">
        <f t="shared" si="0"/>
        <v>91956.517530728786</v>
      </c>
      <c r="M46" s="15">
        <f t="shared" si="1"/>
        <v>0</v>
      </c>
    </row>
    <row r="47" spans="1:13" x14ac:dyDescent="0.3">
      <c r="K47" s="198">
        <f>'DANNO AGGREGATO'!D48</f>
        <v>86916.027903318638</v>
      </c>
      <c r="L47" s="15">
        <f t="shared" si="0"/>
        <v>86916.027903318638</v>
      </c>
      <c r="M47" s="15">
        <f t="shared" si="1"/>
        <v>0</v>
      </c>
    </row>
    <row r="48" spans="1:13" x14ac:dyDescent="0.3">
      <c r="K48" s="198">
        <f>'DANNO AGGREGATO'!D49</f>
        <v>106461.00475658366</v>
      </c>
      <c r="L48" s="15">
        <f t="shared" si="0"/>
        <v>105034.34882660338</v>
      </c>
      <c r="M48" s="15">
        <f t="shared" si="1"/>
        <v>1426.6559299802757</v>
      </c>
    </row>
    <row r="49" spans="11:13" x14ac:dyDescent="0.3">
      <c r="K49" s="198">
        <f>'DANNO AGGREGATO'!D50</f>
        <v>83799.323643628682</v>
      </c>
      <c r="L49" s="15">
        <f t="shared" si="0"/>
        <v>83799.323643628682</v>
      </c>
      <c r="M49" s="15">
        <f t="shared" si="1"/>
        <v>0</v>
      </c>
    </row>
    <row r="50" spans="11:13" x14ac:dyDescent="0.3">
      <c r="K50" s="198">
        <f>'DANNO AGGREGATO'!D51</f>
        <v>88057.685560570622</v>
      </c>
      <c r="L50" s="15">
        <f t="shared" si="0"/>
        <v>88057.685560570622</v>
      </c>
      <c r="M50" s="15">
        <f t="shared" si="1"/>
        <v>0</v>
      </c>
    </row>
    <row r="51" spans="11:13" x14ac:dyDescent="0.3">
      <c r="K51" s="198">
        <f>'DANNO AGGREGATO'!D52</f>
        <v>81476.038900036176</v>
      </c>
      <c r="L51" s="15">
        <f t="shared" si="0"/>
        <v>81476.038900036176</v>
      </c>
      <c r="M51" s="15">
        <f t="shared" si="1"/>
        <v>0</v>
      </c>
    </row>
    <row r="52" spans="11:13" x14ac:dyDescent="0.3">
      <c r="K52" s="198">
        <f>'DANNO AGGREGATO'!D53</f>
        <v>98266.79294792196</v>
      </c>
      <c r="L52" s="15">
        <f t="shared" si="0"/>
        <v>98266.79294792196</v>
      </c>
      <c r="M52" s="15">
        <f t="shared" si="1"/>
        <v>0</v>
      </c>
    </row>
    <row r="53" spans="11:13" x14ac:dyDescent="0.3">
      <c r="K53" s="198">
        <f>'DANNO AGGREGATO'!D54</f>
        <v>91317.974136369652</v>
      </c>
      <c r="L53" s="15">
        <f t="shared" si="0"/>
        <v>91317.974136369652</v>
      </c>
      <c r="M53" s="15">
        <f t="shared" si="1"/>
        <v>0</v>
      </c>
    </row>
    <row r="54" spans="11:13" x14ac:dyDescent="0.3">
      <c r="K54" s="198">
        <f>'DANNO AGGREGATO'!D55</f>
        <v>88692.503472548473</v>
      </c>
      <c r="L54" s="15">
        <f t="shared" si="0"/>
        <v>88692.503472548473</v>
      </c>
      <c r="M54" s="15">
        <f t="shared" si="1"/>
        <v>0</v>
      </c>
    </row>
    <row r="55" spans="11:13" x14ac:dyDescent="0.3">
      <c r="K55" s="198">
        <f>'DANNO AGGREGATO'!D56</f>
        <v>91927.11371018205</v>
      </c>
      <c r="L55" s="15">
        <f t="shared" si="0"/>
        <v>91927.11371018205</v>
      </c>
      <c r="M55" s="15">
        <f t="shared" si="1"/>
        <v>0</v>
      </c>
    </row>
    <row r="56" spans="11:13" x14ac:dyDescent="0.3">
      <c r="K56" s="198">
        <f>'DANNO AGGREGATO'!D57</f>
        <v>123188.59149712134</v>
      </c>
      <c r="L56" s="15">
        <f t="shared" si="0"/>
        <v>105034.34882660338</v>
      </c>
      <c r="M56" s="15">
        <f t="shared" si="1"/>
        <v>18154.242670517953</v>
      </c>
    </row>
    <row r="57" spans="11:13" x14ac:dyDescent="0.3">
      <c r="K57" s="198">
        <f>'DANNO AGGREGATO'!D58</f>
        <v>66869.408730875788</v>
      </c>
      <c r="L57" s="15">
        <f t="shared" si="0"/>
        <v>66869.408730875788</v>
      </c>
      <c r="M57" s="15">
        <f t="shared" si="1"/>
        <v>0</v>
      </c>
    </row>
    <row r="58" spans="11:13" x14ac:dyDescent="0.3">
      <c r="K58" s="198">
        <f>'DANNO AGGREGATO'!D59</f>
        <v>86407.632627426501</v>
      </c>
      <c r="L58" s="15">
        <f t="shared" si="0"/>
        <v>86407.632627426501</v>
      </c>
      <c r="M58" s="15">
        <f t="shared" si="1"/>
        <v>0</v>
      </c>
    </row>
    <row r="59" spans="11:13" x14ac:dyDescent="0.3">
      <c r="K59" s="198">
        <f>'DANNO AGGREGATO'!D60</f>
        <v>76647.016382422124</v>
      </c>
      <c r="L59" s="15">
        <f t="shared" si="0"/>
        <v>76647.016382422124</v>
      </c>
      <c r="M59" s="15">
        <f t="shared" si="1"/>
        <v>0</v>
      </c>
    </row>
    <row r="60" spans="11:13" x14ac:dyDescent="0.3">
      <c r="K60" s="198">
        <f>'DANNO AGGREGATO'!D61</f>
        <v>86920.57584533398</v>
      </c>
      <c r="L60" s="15">
        <f t="shared" si="0"/>
        <v>86920.57584533398</v>
      </c>
      <c r="M60" s="15">
        <f t="shared" si="1"/>
        <v>0</v>
      </c>
    </row>
    <row r="61" spans="11:13" x14ac:dyDescent="0.3">
      <c r="K61" s="198">
        <f>'DANNO AGGREGATO'!D62</f>
        <v>96607.234841364989</v>
      </c>
      <c r="L61" s="15">
        <f t="shared" si="0"/>
        <v>96607.234841364989</v>
      </c>
      <c r="M61" s="15">
        <f t="shared" si="1"/>
        <v>0</v>
      </c>
    </row>
    <row r="62" spans="11:13" x14ac:dyDescent="0.3">
      <c r="K62" s="198">
        <f>'DANNO AGGREGATO'!D63</f>
        <v>84916.645104763898</v>
      </c>
      <c r="L62" s="15">
        <f t="shared" si="0"/>
        <v>84916.645104763898</v>
      </c>
      <c r="M62" s="15">
        <f t="shared" si="1"/>
        <v>0</v>
      </c>
    </row>
    <row r="63" spans="11:13" x14ac:dyDescent="0.3">
      <c r="K63" s="198">
        <f>'DANNO AGGREGATO'!D64</f>
        <v>83900.551494837113</v>
      </c>
      <c r="L63" s="15">
        <f t="shared" si="0"/>
        <v>83900.551494837113</v>
      </c>
      <c r="M63" s="15">
        <f t="shared" si="1"/>
        <v>0</v>
      </c>
    </row>
    <row r="64" spans="11:13" x14ac:dyDescent="0.3">
      <c r="K64" s="198">
        <f>'DANNO AGGREGATO'!D65</f>
        <v>126801.68990118064</v>
      </c>
      <c r="L64" s="15">
        <f t="shared" si="0"/>
        <v>105034.34882660338</v>
      </c>
      <c r="M64" s="15">
        <f t="shared" si="1"/>
        <v>21767.341074577256</v>
      </c>
    </row>
    <row r="65" spans="11:13" x14ac:dyDescent="0.3">
      <c r="K65" s="198">
        <f>'DANNO AGGREGATO'!D66</f>
        <v>95979.372100786306</v>
      </c>
      <c r="L65" s="15">
        <f t="shared" si="0"/>
        <v>95979.372100786306</v>
      </c>
      <c r="M65" s="15">
        <f t="shared" si="1"/>
        <v>0</v>
      </c>
    </row>
    <row r="66" spans="11:13" x14ac:dyDescent="0.3">
      <c r="K66" s="198">
        <f>'DANNO AGGREGATO'!D67</f>
        <v>95674.208772059297</v>
      </c>
      <c r="L66" s="15">
        <f t="shared" si="0"/>
        <v>95674.208772059297</v>
      </c>
      <c r="M66" s="15">
        <f t="shared" si="1"/>
        <v>0</v>
      </c>
    </row>
    <row r="67" spans="11:13" x14ac:dyDescent="0.3">
      <c r="K67" s="198">
        <f>'DANNO AGGREGATO'!D68</f>
        <v>113461.94588634663</v>
      </c>
      <c r="L67" s="15">
        <f t="shared" ref="L67:L130" si="2">IF(K67&lt;=$B$9,K67,$B$9)</f>
        <v>105034.34882660338</v>
      </c>
      <c r="M67" s="15">
        <f t="shared" ref="M67:M130" si="3">K67-L67</f>
        <v>8427.5970597432461</v>
      </c>
    </row>
    <row r="68" spans="11:13" x14ac:dyDescent="0.3">
      <c r="K68" s="198">
        <f>'DANNO AGGREGATO'!D69</f>
        <v>80830.108313669451</v>
      </c>
      <c r="L68" s="15">
        <f t="shared" si="2"/>
        <v>80830.108313669451</v>
      </c>
      <c r="M68" s="15">
        <f t="shared" si="3"/>
        <v>0</v>
      </c>
    </row>
    <row r="69" spans="11:13" x14ac:dyDescent="0.3">
      <c r="K69" s="198">
        <f>'DANNO AGGREGATO'!D70</f>
        <v>101936.46710465096</v>
      </c>
      <c r="L69" s="15">
        <f t="shared" si="2"/>
        <v>101936.46710465096</v>
      </c>
      <c r="M69" s="15">
        <f t="shared" si="3"/>
        <v>0</v>
      </c>
    </row>
    <row r="70" spans="11:13" x14ac:dyDescent="0.3">
      <c r="K70" s="198">
        <f>'DANNO AGGREGATO'!D71</f>
        <v>103231.3644054121</v>
      </c>
      <c r="L70" s="15">
        <f t="shared" si="2"/>
        <v>103231.3644054121</v>
      </c>
      <c r="M70" s="15">
        <f t="shared" si="3"/>
        <v>0</v>
      </c>
    </row>
    <row r="71" spans="11:13" x14ac:dyDescent="0.3">
      <c r="K71" s="198">
        <f>'DANNO AGGREGATO'!D72</f>
        <v>109446.60109440974</v>
      </c>
      <c r="L71" s="15">
        <f t="shared" si="2"/>
        <v>105034.34882660338</v>
      </c>
      <c r="M71" s="15">
        <f t="shared" si="3"/>
        <v>4412.2522678063542</v>
      </c>
    </row>
    <row r="72" spans="11:13" x14ac:dyDescent="0.3">
      <c r="K72" s="198">
        <f>'DANNO AGGREGATO'!D73</f>
        <v>72876.467301833531</v>
      </c>
      <c r="L72" s="15">
        <f t="shared" si="2"/>
        <v>72876.467301833531</v>
      </c>
      <c r="M72" s="15">
        <f t="shared" si="3"/>
        <v>0</v>
      </c>
    </row>
    <row r="73" spans="11:13" x14ac:dyDescent="0.3">
      <c r="K73" s="198">
        <f>'DANNO AGGREGATO'!D74</f>
        <v>94895.06040000607</v>
      </c>
      <c r="L73" s="15">
        <f t="shared" si="2"/>
        <v>94895.06040000607</v>
      </c>
      <c r="M73" s="15">
        <f t="shared" si="3"/>
        <v>0</v>
      </c>
    </row>
    <row r="74" spans="11:13" x14ac:dyDescent="0.3">
      <c r="K74" s="198">
        <f>'DANNO AGGREGATO'!D75</f>
        <v>103219.75946089716</v>
      </c>
      <c r="L74" s="15">
        <f t="shared" si="2"/>
        <v>103219.75946089716</v>
      </c>
      <c r="M74" s="15">
        <f t="shared" si="3"/>
        <v>0</v>
      </c>
    </row>
    <row r="75" spans="11:13" x14ac:dyDescent="0.3">
      <c r="K75" s="198">
        <f>'DANNO AGGREGATO'!D76</f>
        <v>66336.463091143713</v>
      </c>
      <c r="L75" s="15">
        <f t="shared" si="2"/>
        <v>66336.463091143713</v>
      </c>
      <c r="M75" s="15">
        <f t="shared" si="3"/>
        <v>0</v>
      </c>
    </row>
    <row r="76" spans="11:13" x14ac:dyDescent="0.3">
      <c r="K76" s="198">
        <f>'DANNO AGGREGATO'!D77</f>
        <v>98414.482598289789</v>
      </c>
      <c r="L76" s="15">
        <f t="shared" si="2"/>
        <v>98414.482598289789</v>
      </c>
      <c r="M76" s="15">
        <f t="shared" si="3"/>
        <v>0</v>
      </c>
    </row>
    <row r="77" spans="11:13" x14ac:dyDescent="0.3">
      <c r="K77" s="198">
        <f>'DANNO AGGREGATO'!D78</f>
        <v>74966.580158822122</v>
      </c>
      <c r="L77" s="15">
        <f t="shared" si="2"/>
        <v>74966.580158822122</v>
      </c>
      <c r="M77" s="15">
        <f t="shared" si="3"/>
        <v>0</v>
      </c>
    </row>
    <row r="78" spans="11:13" x14ac:dyDescent="0.3">
      <c r="K78" s="198">
        <f>'DANNO AGGREGATO'!D79</f>
        <v>84160.021017479477</v>
      </c>
      <c r="L78" s="15">
        <f t="shared" si="2"/>
        <v>84160.021017479477</v>
      </c>
      <c r="M78" s="15">
        <f t="shared" si="3"/>
        <v>0</v>
      </c>
    </row>
    <row r="79" spans="11:13" x14ac:dyDescent="0.3">
      <c r="K79" s="198">
        <f>'DANNO AGGREGATO'!D80</f>
        <v>136287.69237010085</v>
      </c>
      <c r="L79" s="15">
        <f t="shared" si="2"/>
        <v>105034.34882660338</v>
      </c>
      <c r="M79" s="15">
        <f t="shared" si="3"/>
        <v>31253.343543497467</v>
      </c>
    </row>
    <row r="80" spans="11:13" x14ac:dyDescent="0.3">
      <c r="K80" s="198">
        <f>'DANNO AGGREGATO'!D81</f>
        <v>116857.58922893905</v>
      </c>
      <c r="L80" s="15">
        <f t="shared" si="2"/>
        <v>105034.34882660338</v>
      </c>
      <c r="M80" s="15">
        <f t="shared" si="3"/>
        <v>11823.240402335665</v>
      </c>
    </row>
    <row r="81" spans="11:13" x14ac:dyDescent="0.3">
      <c r="K81" s="198">
        <f>'DANNO AGGREGATO'!D82</f>
        <v>75409.992324023042</v>
      </c>
      <c r="L81" s="15">
        <f t="shared" si="2"/>
        <v>75409.992324023042</v>
      </c>
      <c r="M81" s="15">
        <f t="shared" si="3"/>
        <v>0</v>
      </c>
    </row>
    <row r="82" spans="11:13" x14ac:dyDescent="0.3">
      <c r="K82" s="198">
        <f>'DANNO AGGREGATO'!D83</f>
        <v>92359.502430498309</v>
      </c>
      <c r="L82" s="15">
        <f t="shared" si="2"/>
        <v>92359.502430498309</v>
      </c>
      <c r="M82" s="15">
        <f t="shared" si="3"/>
        <v>0</v>
      </c>
    </row>
    <row r="83" spans="11:13" x14ac:dyDescent="0.3">
      <c r="K83" s="198">
        <f>'DANNO AGGREGATO'!D84</f>
        <v>104684.77352001624</v>
      </c>
      <c r="L83" s="15">
        <f t="shared" si="2"/>
        <v>104684.77352001624</v>
      </c>
      <c r="M83" s="15">
        <f t="shared" si="3"/>
        <v>0</v>
      </c>
    </row>
    <row r="84" spans="11:13" x14ac:dyDescent="0.3">
      <c r="K84" s="198">
        <f>'DANNO AGGREGATO'!D85</f>
        <v>91124.325264023471</v>
      </c>
      <c r="L84" s="15">
        <f t="shared" si="2"/>
        <v>91124.325264023471</v>
      </c>
      <c r="M84" s="15">
        <f t="shared" si="3"/>
        <v>0</v>
      </c>
    </row>
    <row r="85" spans="11:13" x14ac:dyDescent="0.3">
      <c r="K85" s="198">
        <f>'DANNO AGGREGATO'!D86</f>
        <v>87373.11526462216</v>
      </c>
      <c r="L85" s="15">
        <f t="shared" si="2"/>
        <v>87373.11526462216</v>
      </c>
      <c r="M85" s="15">
        <f t="shared" si="3"/>
        <v>0</v>
      </c>
    </row>
    <row r="86" spans="11:13" x14ac:dyDescent="0.3">
      <c r="K86" s="198">
        <f>'DANNO AGGREGATO'!D87</f>
        <v>97907.381066624264</v>
      </c>
      <c r="L86" s="15">
        <f t="shared" si="2"/>
        <v>97907.381066624264</v>
      </c>
      <c r="M86" s="15">
        <f t="shared" si="3"/>
        <v>0</v>
      </c>
    </row>
    <row r="87" spans="11:13" x14ac:dyDescent="0.3">
      <c r="K87" s="198">
        <f>'DANNO AGGREGATO'!D88</f>
        <v>82303.395496306141</v>
      </c>
      <c r="L87" s="15">
        <f t="shared" si="2"/>
        <v>82303.395496306141</v>
      </c>
      <c r="M87" s="15">
        <f t="shared" si="3"/>
        <v>0</v>
      </c>
    </row>
    <row r="88" spans="11:13" x14ac:dyDescent="0.3">
      <c r="K88" s="198">
        <f>'DANNO AGGREGATO'!D89</f>
        <v>129520.17520099969</v>
      </c>
      <c r="L88" s="15">
        <f t="shared" si="2"/>
        <v>105034.34882660338</v>
      </c>
      <c r="M88" s="15">
        <f t="shared" si="3"/>
        <v>24485.826374396303</v>
      </c>
    </row>
    <row r="89" spans="11:13" x14ac:dyDescent="0.3">
      <c r="K89" s="198">
        <f>'DANNO AGGREGATO'!D90</f>
        <v>78117.669995972959</v>
      </c>
      <c r="L89" s="15">
        <f t="shared" si="2"/>
        <v>78117.669995972959</v>
      </c>
      <c r="M89" s="15">
        <f t="shared" si="3"/>
        <v>0</v>
      </c>
    </row>
    <row r="90" spans="11:13" x14ac:dyDescent="0.3">
      <c r="K90" s="198">
        <f>'DANNO AGGREGATO'!D91</f>
        <v>122130.84074158686</v>
      </c>
      <c r="L90" s="15">
        <f t="shared" si="2"/>
        <v>105034.34882660338</v>
      </c>
      <c r="M90" s="15">
        <f t="shared" si="3"/>
        <v>17096.491914983475</v>
      </c>
    </row>
    <row r="91" spans="11:13" x14ac:dyDescent="0.3">
      <c r="K91" s="198">
        <f>'DANNO AGGREGATO'!D92</f>
        <v>79529.56082159096</v>
      </c>
      <c r="L91" s="15">
        <f t="shared" si="2"/>
        <v>79529.56082159096</v>
      </c>
      <c r="M91" s="15">
        <f t="shared" si="3"/>
        <v>0</v>
      </c>
    </row>
    <row r="92" spans="11:13" x14ac:dyDescent="0.3">
      <c r="K92" s="198">
        <f>'DANNO AGGREGATO'!D93</f>
        <v>88403.706632342466</v>
      </c>
      <c r="L92" s="15">
        <f t="shared" si="2"/>
        <v>88403.706632342466</v>
      </c>
      <c r="M92" s="15">
        <f t="shared" si="3"/>
        <v>0</v>
      </c>
    </row>
    <row r="93" spans="11:13" x14ac:dyDescent="0.3">
      <c r="K93" s="198">
        <f>'DANNO AGGREGATO'!D94</f>
        <v>103801.5215984984</v>
      </c>
      <c r="L93" s="15">
        <f t="shared" si="2"/>
        <v>103801.5215984984</v>
      </c>
      <c r="M93" s="15">
        <f t="shared" si="3"/>
        <v>0</v>
      </c>
    </row>
    <row r="94" spans="11:13" x14ac:dyDescent="0.3">
      <c r="K94" s="198">
        <f>'DANNO AGGREGATO'!D95</f>
        <v>87149.506158360644</v>
      </c>
      <c r="L94" s="15">
        <f t="shared" si="2"/>
        <v>87149.506158360644</v>
      </c>
      <c r="M94" s="15">
        <f t="shared" si="3"/>
        <v>0</v>
      </c>
    </row>
    <row r="95" spans="11:13" x14ac:dyDescent="0.3">
      <c r="K95" s="198">
        <f>'DANNO AGGREGATO'!D96</f>
        <v>99388.67170360095</v>
      </c>
      <c r="L95" s="15">
        <f t="shared" si="2"/>
        <v>99388.67170360095</v>
      </c>
      <c r="M95" s="15">
        <f t="shared" si="3"/>
        <v>0</v>
      </c>
    </row>
    <row r="96" spans="11:13" x14ac:dyDescent="0.3">
      <c r="K96" s="198">
        <f>'DANNO AGGREGATO'!D97</f>
        <v>110486.8958961093</v>
      </c>
      <c r="L96" s="15">
        <f t="shared" si="2"/>
        <v>105034.34882660338</v>
      </c>
      <c r="M96" s="15">
        <f t="shared" si="3"/>
        <v>5452.5470695059194</v>
      </c>
    </row>
    <row r="97" spans="11:13" x14ac:dyDescent="0.3">
      <c r="K97" s="198">
        <f>'DANNO AGGREGATO'!D98</f>
        <v>111586.66500752486</v>
      </c>
      <c r="L97" s="15">
        <f t="shared" si="2"/>
        <v>105034.34882660338</v>
      </c>
      <c r="M97" s="15">
        <f t="shared" si="3"/>
        <v>6552.3161809214798</v>
      </c>
    </row>
    <row r="98" spans="11:13" x14ac:dyDescent="0.3">
      <c r="K98" s="198">
        <f>'DANNO AGGREGATO'!D99</f>
        <v>79232.317733876276</v>
      </c>
      <c r="L98" s="15">
        <f t="shared" si="2"/>
        <v>79232.317733876276</v>
      </c>
      <c r="M98" s="15">
        <f t="shared" si="3"/>
        <v>0</v>
      </c>
    </row>
    <row r="99" spans="11:13" x14ac:dyDescent="0.3">
      <c r="K99" s="198">
        <f>'DANNO AGGREGATO'!D100</f>
        <v>96400.320583421912</v>
      </c>
      <c r="L99" s="15">
        <f t="shared" si="2"/>
        <v>96400.320583421912</v>
      </c>
      <c r="M99" s="15">
        <f t="shared" si="3"/>
        <v>0</v>
      </c>
    </row>
    <row r="100" spans="11:13" x14ac:dyDescent="0.3">
      <c r="K100" s="198">
        <f>'DANNO AGGREGATO'!D101</f>
        <v>81940.546288714177</v>
      </c>
      <c r="L100" s="15">
        <f t="shared" si="2"/>
        <v>81940.546288714177</v>
      </c>
      <c r="M100" s="15">
        <f t="shared" si="3"/>
        <v>0</v>
      </c>
    </row>
    <row r="101" spans="11:13" x14ac:dyDescent="0.3">
      <c r="K101" s="198">
        <f>'DANNO AGGREGATO'!D102</f>
        <v>110481.70877206144</v>
      </c>
      <c r="L101" s="15">
        <f t="shared" si="2"/>
        <v>105034.34882660338</v>
      </c>
      <c r="M101" s="15">
        <f t="shared" si="3"/>
        <v>5447.3599454580544</v>
      </c>
    </row>
    <row r="102" spans="11:13" x14ac:dyDescent="0.3">
      <c r="K102" s="198">
        <f>'DANNO AGGREGATO'!D103</f>
        <v>107098.89425721456</v>
      </c>
      <c r="L102" s="15">
        <f t="shared" si="2"/>
        <v>105034.34882660338</v>
      </c>
      <c r="M102" s="15">
        <f t="shared" si="3"/>
        <v>2064.5454306111787</v>
      </c>
    </row>
    <row r="103" spans="11:13" x14ac:dyDescent="0.3">
      <c r="K103" s="198">
        <f>'DANNO AGGREGATO'!D104</f>
        <v>114752.83224081516</v>
      </c>
      <c r="L103" s="15">
        <f t="shared" si="2"/>
        <v>105034.34882660338</v>
      </c>
      <c r="M103" s="15">
        <f t="shared" si="3"/>
        <v>9718.4834142117761</v>
      </c>
    </row>
    <row r="104" spans="11:13" x14ac:dyDescent="0.3">
      <c r="K104" s="198">
        <f>'DANNO AGGREGATO'!D105</f>
        <v>105596.20936671343</v>
      </c>
      <c r="L104" s="15">
        <f t="shared" si="2"/>
        <v>105034.34882660338</v>
      </c>
      <c r="M104" s="15">
        <f t="shared" si="3"/>
        <v>561.86054011005035</v>
      </c>
    </row>
    <row r="105" spans="11:13" x14ac:dyDescent="0.3">
      <c r="K105" s="198">
        <f>'DANNO AGGREGATO'!D106</f>
        <v>74769.667673111253</v>
      </c>
      <c r="L105" s="15">
        <f t="shared" si="2"/>
        <v>74769.667673111253</v>
      </c>
      <c r="M105" s="15">
        <f t="shared" si="3"/>
        <v>0</v>
      </c>
    </row>
    <row r="106" spans="11:13" x14ac:dyDescent="0.3">
      <c r="K106" s="198">
        <f>'DANNO AGGREGATO'!D107</f>
        <v>69498.309270735932</v>
      </c>
      <c r="L106" s="15">
        <f t="shared" si="2"/>
        <v>69498.309270735932</v>
      </c>
      <c r="M106" s="15">
        <f t="shared" si="3"/>
        <v>0</v>
      </c>
    </row>
    <row r="107" spans="11:13" x14ac:dyDescent="0.3">
      <c r="K107" s="198">
        <f>'DANNO AGGREGATO'!D108</f>
        <v>97028.989230581123</v>
      </c>
      <c r="L107" s="15">
        <f t="shared" si="2"/>
        <v>97028.989230581123</v>
      </c>
      <c r="M107" s="15">
        <f t="shared" si="3"/>
        <v>0</v>
      </c>
    </row>
    <row r="108" spans="11:13" x14ac:dyDescent="0.3">
      <c r="K108" s="198">
        <f>'DANNO AGGREGATO'!D109</f>
        <v>79482.217562905906</v>
      </c>
      <c r="L108" s="15">
        <f t="shared" si="2"/>
        <v>79482.217562905906</v>
      </c>
      <c r="M108" s="15">
        <f t="shared" si="3"/>
        <v>0</v>
      </c>
    </row>
    <row r="109" spans="11:13" x14ac:dyDescent="0.3">
      <c r="K109" s="198">
        <f>'DANNO AGGREGATO'!D110</f>
        <v>109136.69601435607</v>
      </c>
      <c r="L109" s="15">
        <f t="shared" si="2"/>
        <v>105034.34882660338</v>
      </c>
      <c r="M109" s="15">
        <f t="shared" si="3"/>
        <v>4102.3471877526899</v>
      </c>
    </row>
    <row r="110" spans="11:13" x14ac:dyDescent="0.3">
      <c r="K110" s="198">
        <f>'DANNO AGGREGATO'!D111</f>
        <v>86329.082060162065</v>
      </c>
      <c r="L110" s="15">
        <f t="shared" si="2"/>
        <v>86329.082060162065</v>
      </c>
      <c r="M110" s="15">
        <f t="shared" si="3"/>
        <v>0</v>
      </c>
    </row>
    <row r="111" spans="11:13" x14ac:dyDescent="0.3">
      <c r="K111" s="198">
        <f>'DANNO AGGREGATO'!D112</f>
        <v>80192.374109728102</v>
      </c>
      <c r="L111" s="15">
        <f t="shared" si="2"/>
        <v>80192.374109728102</v>
      </c>
      <c r="M111" s="15">
        <f t="shared" si="3"/>
        <v>0</v>
      </c>
    </row>
    <row r="112" spans="11:13" x14ac:dyDescent="0.3">
      <c r="K112" s="198">
        <f>'DANNO AGGREGATO'!D113</f>
        <v>109285.45716873088</v>
      </c>
      <c r="L112" s="15">
        <f t="shared" si="2"/>
        <v>105034.34882660338</v>
      </c>
      <c r="M112" s="15">
        <f t="shared" si="3"/>
        <v>4251.1083421274961</v>
      </c>
    </row>
    <row r="113" spans="11:13" x14ac:dyDescent="0.3">
      <c r="K113" s="198">
        <f>'DANNO AGGREGATO'!D114</f>
        <v>100878.3617855099</v>
      </c>
      <c r="L113" s="15">
        <f t="shared" si="2"/>
        <v>100878.3617855099</v>
      </c>
      <c r="M113" s="15">
        <f t="shared" si="3"/>
        <v>0</v>
      </c>
    </row>
    <row r="114" spans="11:13" x14ac:dyDescent="0.3">
      <c r="K114" s="198">
        <f>'DANNO AGGREGATO'!D115</f>
        <v>99563.917207327628</v>
      </c>
      <c r="L114" s="15">
        <f t="shared" si="2"/>
        <v>99563.917207327628</v>
      </c>
      <c r="M114" s="15">
        <f t="shared" si="3"/>
        <v>0</v>
      </c>
    </row>
    <row r="115" spans="11:13" x14ac:dyDescent="0.3">
      <c r="K115" s="198">
        <f>'DANNO AGGREGATO'!D116</f>
        <v>95266.404510167064</v>
      </c>
      <c r="L115" s="15">
        <f t="shared" si="2"/>
        <v>95266.404510167064</v>
      </c>
      <c r="M115" s="15">
        <f t="shared" si="3"/>
        <v>0</v>
      </c>
    </row>
    <row r="116" spans="11:13" x14ac:dyDescent="0.3">
      <c r="K116" s="198">
        <f>'DANNO AGGREGATO'!D117</f>
        <v>80665.22745817031</v>
      </c>
      <c r="L116" s="15">
        <f t="shared" si="2"/>
        <v>80665.22745817031</v>
      </c>
      <c r="M116" s="15">
        <f t="shared" si="3"/>
        <v>0</v>
      </c>
    </row>
    <row r="117" spans="11:13" x14ac:dyDescent="0.3">
      <c r="K117" s="198">
        <f>'DANNO AGGREGATO'!D118</f>
        <v>138705.61460220619</v>
      </c>
      <c r="L117" s="15">
        <f t="shared" si="2"/>
        <v>105034.34882660338</v>
      </c>
      <c r="M117" s="15">
        <f t="shared" si="3"/>
        <v>33671.265775602806</v>
      </c>
    </row>
    <row r="118" spans="11:13" x14ac:dyDescent="0.3">
      <c r="K118" s="198">
        <f>'DANNO AGGREGATO'!D119</f>
        <v>131291.19708211225</v>
      </c>
      <c r="L118" s="15">
        <f t="shared" si="2"/>
        <v>105034.34882660338</v>
      </c>
      <c r="M118" s="15">
        <f t="shared" si="3"/>
        <v>26256.84825550887</v>
      </c>
    </row>
    <row r="119" spans="11:13" x14ac:dyDescent="0.3">
      <c r="K119" s="198">
        <f>'DANNO AGGREGATO'!D120</f>
        <v>103884.35420003903</v>
      </c>
      <c r="L119" s="15">
        <f t="shared" si="2"/>
        <v>103884.35420003903</v>
      </c>
      <c r="M119" s="15">
        <f t="shared" si="3"/>
        <v>0</v>
      </c>
    </row>
    <row r="120" spans="11:13" x14ac:dyDescent="0.3">
      <c r="K120" s="198">
        <f>'DANNO AGGREGATO'!D121</f>
        <v>95061.670050817498</v>
      </c>
      <c r="L120" s="15">
        <f t="shared" si="2"/>
        <v>95061.670050817498</v>
      </c>
      <c r="M120" s="15">
        <f t="shared" si="3"/>
        <v>0</v>
      </c>
    </row>
    <row r="121" spans="11:13" x14ac:dyDescent="0.3">
      <c r="K121" s="198">
        <f>'DANNO AGGREGATO'!D122</f>
        <v>114807.21688067766</v>
      </c>
      <c r="L121" s="15">
        <f t="shared" si="2"/>
        <v>105034.34882660338</v>
      </c>
      <c r="M121" s="15">
        <f t="shared" si="3"/>
        <v>9772.8680540742789</v>
      </c>
    </row>
    <row r="122" spans="11:13" x14ac:dyDescent="0.3">
      <c r="K122" s="198">
        <f>'DANNO AGGREGATO'!D123</f>
        <v>78806.347108455608</v>
      </c>
      <c r="L122" s="15">
        <f t="shared" si="2"/>
        <v>78806.347108455608</v>
      </c>
      <c r="M122" s="15">
        <f t="shared" si="3"/>
        <v>0</v>
      </c>
    </row>
    <row r="123" spans="11:13" x14ac:dyDescent="0.3">
      <c r="K123" s="198">
        <f>'DANNO AGGREGATO'!D124</f>
        <v>96451.019772551852</v>
      </c>
      <c r="L123" s="15">
        <f t="shared" si="2"/>
        <v>96451.019772551852</v>
      </c>
      <c r="M123" s="15">
        <f t="shared" si="3"/>
        <v>0</v>
      </c>
    </row>
    <row r="124" spans="11:13" x14ac:dyDescent="0.3">
      <c r="K124" s="198">
        <f>'DANNO AGGREGATO'!D125</f>
        <v>96403.571303780031</v>
      </c>
      <c r="L124" s="15">
        <f t="shared" si="2"/>
        <v>96403.571303780031</v>
      </c>
      <c r="M124" s="15">
        <f t="shared" si="3"/>
        <v>0</v>
      </c>
    </row>
    <row r="125" spans="11:13" x14ac:dyDescent="0.3">
      <c r="K125" s="198">
        <f>'DANNO AGGREGATO'!D126</f>
        <v>103669.15395915492</v>
      </c>
      <c r="L125" s="15">
        <f t="shared" si="2"/>
        <v>103669.15395915492</v>
      </c>
      <c r="M125" s="15">
        <f t="shared" si="3"/>
        <v>0</v>
      </c>
    </row>
    <row r="126" spans="11:13" x14ac:dyDescent="0.3">
      <c r="K126" s="198">
        <f>'DANNO AGGREGATO'!D127</f>
        <v>84554.591646681627</v>
      </c>
      <c r="L126" s="15">
        <f t="shared" si="2"/>
        <v>84554.591646681627</v>
      </c>
      <c r="M126" s="15">
        <f t="shared" si="3"/>
        <v>0</v>
      </c>
    </row>
    <row r="127" spans="11:13" x14ac:dyDescent="0.3">
      <c r="K127" s="198">
        <f>'DANNO AGGREGATO'!D128</f>
        <v>81889.611662881231</v>
      </c>
      <c r="L127" s="15">
        <f t="shared" si="2"/>
        <v>81889.611662881231</v>
      </c>
      <c r="M127" s="15">
        <f t="shared" si="3"/>
        <v>0</v>
      </c>
    </row>
    <row r="128" spans="11:13" x14ac:dyDescent="0.3">
      <c r="K128" s="198">
        <f>'DANNO AGGREGATO'!D129</f>
        <v>116947.78032639188</v>
      </c>
      <c r="L128" s="15">
        <f t="shared" si="2"/>
        <v>105034.34882660338</v>
      </c>
      <c r="M128" s="15">
        <f t="shared" si="3"/>
        <v>11913.431499788494</v>
      </c>
    </row>
    <row r="129" spans="11:13" x14ac:dyDescent="0.3">
      <c r="K129" s="198">
        <f>'DANNO AGGREGATO'!D130</f>
        <v>122711.56802123503</v>
      </c>
      <c r="L129" s="15">
        <f t="shared" si="2"/>
        <v>105034.34882660338</v>
      </c>
      <c r="M129" s="15">
        <f t="shared" si="3"/>
        <v>17677.219194631645</v>
      </c>
    </row>
    <row r="130" spans="11:13" x14ac:dyDescent="0.3">
      <c r="K130" s="198">
        <f>'DANNO AGGREGATO'!D131</f>
        <v>121657.31929267304</v>
      </c>
      <c r="L130" s="15">
        <f t="shared" si="2"/>
        <v>105034.34882660338</v>
      </c>
      <c r="M130" s="15">
        <f t="shared" si="3"/>
        <v>16622.970466069659</v>
      </c>
    </row>
    <row r="131" spans="11:13" x14ac:dyDescent="0.3">
      <c r="K131" s="198">
        <f>'DANNO AGGREGATO'!D132</f>
        <v>127709.69787093492</v>
      </c>
      <c r="L131" s="15">
        <f t="shared" ref="L131:L194" si="4">IF(K131&lt;=$B$9,K131,$B$9)</f>
        <v>105034.34882660338</v>
      </c>
      <c r="M131" s="15">
        <f t="shared" ref="M131:M194" si="5">K131-L131</f>
        <v>22675.349044331539</v>
      </c>
    </row>
    <row r="132" spans="11:13" x14ac:dyDescent="0.3">
      <c r="K132" s="198">
        <f>'DANNO AGGREGATO'!D133</f>
        <v>129045.55279068594</v>
      </c>
      <c r="L132" s="15">
        <f t="shared" si="4"/>
        <v>105034.34882660338</v>
      </c>
      <c r="M132" s="15">
        <f t="shared" si="5"/>
        <v>24011.203964082553</v>
      </c>
    </row>
    <row r="133" spans="11:13" x14ac:dyDescent="0.3">
      <c r="K133" s="198">
        <f>'DANNO AGGREGATO'!D134</f>
        <v>103104.45527668241</v>
      </c>
      <c r="L133" s="15">
        <f t="shared" si="4"/>
        <v>103104.45527668241</v>
      </c>
      <c r="M133" s="15">
        <f t="shared" si="5"/>
        <v>0</v>
      </c>
    </row>
    <row r="134" spans="11:13" x14ac:dyDescent="0.3">
      <c r="K134" s="198">
        <f>'DANNO AGGREGATO'!D135</f>
        <v>81877.584087204363</v>
      </c>
      <c r="L134" s="15">
        <f t="shared" si="4"/>
        <v>81877.584087204363</v>
      </c>
      <c r="M134" s="15">
        <f t="shared" si="5"/>
        <v>0</v>
      </c>
    </row>
    <row r="135" spans="11:13" x14ac:dyDescent="0.3">
      <c r="K135" s="198">
        <f>'DANNO AGGREGATO'!D136</f>
        <v>71535.404556104273</v>
      </c>
      <c r="L135" s="15">
        <f t="shared" si="4"/>
        <v>71535.404556104273</v>
      </c>
      <c r="M135" s="15">
        <f t="shared" si="5"/>
        <v>0</v>
      </c>
    </row>
    <row r="136" spans="11:13" x14ac:dyDescent="0.3">
      <c r="K136" s="198">
        <f>'DANNO AGGREGATO'!D137</f>
        <v>77472.741065079492</v>
      </c>
      <c r="L136" s="15">
        <f t="shared" si="4"/>
        <v>77472.741065079492</v>
      </c>
      <c r="M136" s="15">
        <f t="shared" si="5"/>
        <v>0</v>
      </c>
    </row>
    <row r="137" spans="11:13" x14ac:dyDescent="0.3">
      <c r="K137" s="198">
        <f>'DANNO AGGREGATO'!D138</f>
        <v>70833.697764767392</v>
      </c>
      <c r="L137" s="15">
        <f t="shared" si="4"/>
        <v>70833.697764767392</v>
      </c>
      <c r="M137" s="15">
        <f t="shared" si="5"/>
        <v>0</v>
      </c>
    </row>
    <row r="138" spans="11:13" x14ac:dyDescent="0.3">
      <c r="K138" s="198">
        <f>'DANNO AGGREGATO'!D139</f>
        <v>89556.430652989831</v>
      </c>
      <c r="L138" s="15">
        <f t="shared" si="4"/>
        <v>89556.430652989831</v>
      </c>
      <c r="M138" s="15">
        <f t="shared" si="5"/>
        <v>0</v>
      </c>
    </row>
    <row r="139" spans="11:13" x14ac:dyDescent="0.3">
      <c r="K139" s="198">
        <f>'DANNO AGGREGATO'!D140</f>
        <v>108935.8496895896</v>
      </c>
      <c r="L139" s="15">
        <f t="shared" si="4"/>
        <v>105034.34882660338</v>
      </c>
      <c r="M139" s="15">
        <f t="shared" si="5"/>
        <v>3901.5008629862132</v>
      </c>
    </row>
    <row r="140" spans="11:13" x14ac:dyDescent="0.3">
      <c r="K140" s="198">
        <f>'DANNO AGGREGATO'!D141</f>
        <v>63230.769446643753</v>
      </c>
      <c r="L140" s="15">
        <f t="shared" si="4"/>
        <v>63230.769446643753</v>
      </c>
      <c r="M140" s="15">
        <f t="shared" si="5"/>
        <v>0</v>
      </c>
    </row>
    <row r="141" spans="11:13" x14ac:dyDescent="0.3">
      <c r="K141" s="198">
        <f>'DANNO AGGREGATO'!D142</f>
        <v>86841.200829184367</v>
      </c>
      <c r="L141" s="15">
        <f t="shared" si="4"/>
        <v>86841.200829184367</v>
      </c>
      <c r="M141" s="15">
        <f t="shared" si="5"/>
        <v>0</v>
      </c>
    </row>
    <row r="142" spans="11:13" x14ac:dyDescent="0.3">
      <c r="K142" s="198">
        <f>'DANNO AGGREGATO'!D143</f>
        <v>104202.79594941795</v>
      </c>
      <c r="L142" s="15">
        <f t="shared" si="4"/>
        <v>104202.79594941795</v>
      </c>
      <c r="M142" s="15">
        <f t="shared" si="5"/>
        <v>0</v>
      </c>
    </row>
    <row r="143" spans="11:13" x14ac:dyDescent="0.3">
      <c r="K143" s="198">
        <f>'DANNO AGGREGATO'!D144</f>
        <v>86517.143787799301</v>
      </c>
      <c r="L143" s="15">
        <f t="shared" si="4"/>
        <v>86517.143787799301</v>
      </c>
      <c r="M143" s="15">
        <f t="shared" si="5"/>
        <v>0</v>
      </c>
    </row>
    <row r="144" spans="11:13" x14ac:dyDescent="0.3">
      <c r="K144" s="198">
        <f>'DANNO AGGREGATO'!D145</f>
        <v>84682.356636338431</v>
      </c>
      <c r="L144" s="15">
        <f t="shared" si="4"/>
        <v>84682.356636338431</v>
      </c>
      <c r="M144" s="15">
        <f t="shared" si="5"/>
        <v>0</v>
      </c>
    </row>
    <row r="145" spans="11:13" x14ac:dyDescent="0.3">
      <c r="K145" s="198">
        <f>'DANNO AGGREGATO'!D146</f>
        <v>99100.75361062889</v>
      </c>
      <c r="L145" s="15">
        <f t="shared" si="4"/>
        <v>99100.75361062889</v>
      </c>
      <c r="M145" s="15">
        <f t="shared" si="5"/>
        <v>0</v>
      </c>
    </row>
    <row r="146" spans="11:13" x14ac:dyDescent="0.3">
      <c r="K146" s="198">
        <f>'DANNO AGGREGATO'!D147</f>
        <v>104192.18267180254</v>
      </c>
      <c r="L146" s="15">
        <f t="shared" si="4"/>
        <v>104192.18267180254</v>
      </c>
      <c r="M146" s="15">
        <f t="shared" si="5"/>
        <v>0</v>
      </c>
    </row>
    <row r="147" spans="11:13" x14ac:dyDescent="0.3">
      <c r="K147" s="198">
        <f>'DANNO AGGREGATO'!D148</f>
        <v>97913.359240433041</v>
      </c>
      <c r="L147" s="15">
        <f t="shared" si="4"/>
        <v>97913.359240433041</v>
      </c>
      <c r="M147" s="15">
        <f t="shared" si="5"/>
        <v>0</v>
      </c>
    </row>
    <row r="148" spans="11:13" x14ac:dyDescent="0.3">
      <c r="K148" s="198">
        <f>'DANNO AGGREGATO'!D149</f>
        <v>86839.244076563555</v>
      </c>
      <c r="L148" s="15">
        <f t="shared" si="4"/>
        <v>86839.244076563555</v>
      </c>
      <c r="M148" s="15">
        <f t="shared" si="5"/>
        <v>0</v>
      </c>
    </row>
    <row r="149" spans="11:13" x14ac:dyDescent="0.3">
      <c r="K149" s="198">
        <f>'DANNO AGGREGATO'!D150</f>
        <v>104387.76338197512</v>
      </c>
      <c r="L149" s="15">
        <f t="shared" si="4"/>
        <v>104387.76338197512</v>
      </c>
      <c r="M149" s="15">
        <f t="shared" si="5"/>
        <v>0</v>
      </c>
    </row>
    <row r="150" spans="11:13" x14ac:dyDescent="0.3">
      <c r="K150" s="198">
        <f>'DANNO AGGREGATO'!D151</f>
        <v>108871.11593354304</v>
      </c>
      <c r="L150" s="15">
        <f t="shared" si="4"/>
        <v>105034.34882660338</v>
      </c>
      <c r="M150" s="15">
        <f t="shared" si="5"/>
        <v>3836.7671069396602</v>
      </c>
    </row>
    <row r="151" spans="11:13" x14ac:dyDescent="0.3">
      <c r="K151" s="198">
        <f>'DANNO AGGREGATO'!D152</f>
        <v>110851.5533536735</v>
      </c>
      <c r="L151" s="15">
        <f t="shared" si="4"/>
        <v>105034.34882660338</v>
      </c>
      <c r="M151" s="15">
        <f t="shared" si="5"/>
        <v>5817.2045270701201</v>
      </c>
    </row>
    <row r="152" spans="11:13" x14ac:dyDescent="0.3">
      <c r="K152" s="198">
        <f>'DANNO AGGREGATO'!D153</f>
        <v>79325.887511874476</v>
      </c>
      <c r="L152" s="15">
        <f t="shared" si="4"/>
        <v>79325.887511874476</v>
      </c>
      <c r="M152" s="15">
        <f t="shared" si="5"/>
        <v>0</v>
      </c>
    </row>
    <row r="153" spans="11:13" x14ac:dyDescent="0.3">
      <c r="K153" s="198">
        <f>'DANNO AGGREGATO'!D154</f>
        <v>99006.906925553427</v>
      </c>
      <c r="L153" s="15">
        <f t="shared" si="4"/>
        <v>99006.906925553427</v>
      </c>
      <c r="M153" s="15">
        <f t="shared" si="5"/>
        <v>0</v>
      </c>
    </row>
    <row r="154" spans="11:13" x14ac:dyDescent="0.3">
      <c r="K154" s="198">
        <f>'DANNO AGGREGATO'!D155</f>
        <v>119930.57739094833</v>
      </c>
      <c r="L154" s="15">
        <f t="shared" si="4"/>
        <v>105034.34882660338</v>
      </c>
      <c r="M154" s="15">
        <f t="shared" si="5"/>
        <v>14896.228564344943</v>
      </c>
    </row>
    <row r="155" spans="11:13" x14ac:dyDescent="0.3">
      <c r="K155" s="198">
        <f>'DANNO AGGREGATO'!D156</f>
        <v>85886.182541692498</v>
      </c>
      <c r="L155" s="15">
        <f t="shared" si="4"/>
        <v>85886.182541692498</v>
      </c>
      <c r="M155" s="15">
        <f t="shared" si="5"/>
        <v>0</v>
      </c>
    </row>
    <row r="156" spans="11:13" x14ac:dyDescent="0.3">
      <c r="K156" s="198">
        <f>'DANNO AGGREGATO'!D157</f>
        <v>86964.196979073153</v>
      </c>
      <c r="L156" s="15">
        <f t="shared" si="4"/>
        <v>86964.196979073153</v>
      </c>
      <c r="M156" s="15">
        <f t="shared" si="5"/>
        <v>0</v>
      </c>
    </row>
    <row r="157" spans="11:13" x14ac:dyDescent="0.3">
      <c r="K157" s="198">
        <f>'DANNO AGGREGATO'!D158</f>
        <v>93244.23411197291</v>
      </c>
      <c r="L157" s="15">
        <f t="shared" si="4"/>
        <v>93244.23411197291</v>
      </c>
      <c r="M157" s="15">
        <f t="shared" si="5"/>
        <v>0</v>
      </c>
    </row>
    <row r="158" spans="11:13" x14ac:dyDescent="0.3">
      <c r="K158" s="198">
        <f>'DANNO AGGREGATO'!D159</f>
        <v>80923.443367242988</v>
      </c>
      <c r="L158" s="15">
        <f t="shared" si="4"/>
        <v>80923.443367242988</v>
      </c>
      <c r="M158" s="15">
        <f t="shared" si="5"/>
        <v>0</v>
      </c>
    </row>
    <row r="159" spans="11:13" x14ac:dyDescent="0.3">
      <c r="K159" s="198">
        <f>'DANNO AGGREGATO'!D160</f>
        <v>108840.40492005485</v>
      </c>
      <c r="L159" s="15">
        <f t="shared" si="4"/>
        <v>105034.34882660338</v>
      </c>
      <c r="M159" s="15">
        <f t="shared" si="5"/>
        <v>3806.0560934514651</v>
      </c>
    </row>
    <row r="160" spans="11:13" x14ac:dyDescent="0.3">
      <c r="K160" s="198">
        <f>'DANNO AGGREGATO'!D161</f>
        <v>79280.347041214161</v>
      </c>
      <c r="L160" s="15">
        <f t="shared" si="4"/>
        <v>79280.347041214161</v>
      </c>
      <c r="M160" s="15">
        <f t="shared" si="5"/>
        <v>0</v>
      </c>
    </row>
    <row r="161" spans="11:13" x14ac:dyDescent="0.3">
      <c r="K161" s="198">
        <f>'DANNO AGGREGATO'!D162</f>
        <v>69915.653399547111</v>
      </c>
      <c r="L161" s="15">
        <f t="shared" si="4"/>
        <v>69915.653399547111</v>
      </c>
      <c r="M161" s="15">
        <f t="shared" si="5"/>
        <v>0</v>
      </c>
    </row>
    <row r="162" spans="11:13" x14ac:dyDescent="0.3">
      <c r="K162" s="198">
        <f>'DANNO AGGREGATO'!D163</f>
        <v>119325.45491841597</v>
      </c>
      <c r="L162" s="15">
        <f t="shared" si="4"/>
        <v>105034.34882660338</v>
      </c>
      <c r="M162" s="15">
        <f t="shared" si="5"/>
        <v>14291.106091812588</v>
      </c>
    </row>
    <row r="163" spans="11:13" x14ac:dyDescent="0.3">
      <c r="K163" s="198">
        <f>'DANNO AGGREGATO'!D164</f>
        <v>98817.688936415871</v>
      </c>
      <c r="L163" s="15">
        <f t="shared" si="4"/>
        <v>98817.688936415871</v>
      </c>
      <c r="M163" s="15">
        <f t="shared" si="5"/>
        <v>0</v>
      </c>
    </row>
    <row r="164" spans="11:13" x14ac:dyDescent="0.3">
      <c r="K164" s="198">
        <f>'DANNO AGGREGATO'!D165</f>
        <v>99254.938149297785</v>
      </c>
      <c r="L164" s="15">
        <f t="shared" si="4"/>
        <v>99254.938149297785</v>
      </c>
      <c r="M164" s="15">
        <f t="shared" si="5"/>
        <v>0</v>
      </c>
    </row>
    <row r="165" spans="11:13" x14ac:dyDescent="0.3">
      <c r="K165" s="198">
        <f>'DANNO AGGREGATO'!D166</f>
        <v>60753.44986910891</v>
      </c>
      <c r="L165" s="15">
        <f t="shared" si="4"/>
        <v>60753.44986910891</v>
      </c>
      <c r="M165" s="15">
        <f t="shared" si="5"/>
        <v>0</v>
      </c>
    </row>
    <row r="166" spans="11:13" x14ac:dyDescent="0.3">
      <c r="K166" s="198">
        <f>'DANNO AGGREGATO'!D167</f>
        <v>116004.26640849654</v>
      </c>
      <c r="L166" s="15">
        <f t="shared" si="4"/>
        <v>105034.34882660338</v>
      </c>
      <c r="M166" s="15">
        <f t="shared" si="5"/>
        <v>10969.917581893154</v>
      </c>
    </row>
    <row r="167" spans="11:13" x14ac:dyDescent="0.3">
      <c r="K167" s="198">
        <f>'DANNO AGGREGATO'!D168</f>
        <v>88916.000827118143</v>
      </c>
      <c r="L167" s="15">
        <f t="shared" si="4"/>
        <v>88916.000827118143</v>
      </c>
      <c r="M167" s="15">
        <f t="shared" si="5"/>
        <v>0</v>
      </c>
    </row>
    <row r="168" spans="11:13" x14ac:dyDescent="0.3">
      <c r="K168" s="198">
        <f>'DANNO AGGREGATO'!D169</f>
        <v>131599.22502432251</v>
      </c>
      <c r="L168" s="15">
        <f t="shared" si="4"/>
        <v>105034.34882660338</v>
      </c>
      <c r="M168" s="15">
        <f t="shared" si="5"/>
        <v>26564.876197719132</v>
      </c>
    </row>
    <row r="169" spans="11:13" x14ac:dyDescent="0.3">
      <c r="K169" s="198">
        <f>'DANNO AGGREGATO'!D170</f>
        <v>106890.69953767167</v>
      </c>
      <c r="L169" s="15">
        <f t="shared" si="4"/>
        <v>105034.34882660338</v>
      </c>
      <c r="M169" s="15">
        <f t="shared" si="5"/>
        <v>1856.350711068284</v>
      </c>
    </row>
    <row r="170" spans="11:13" x14ac:dyDescent="0.3">
      <c r="K170" s="198">
        <f>'DANNO AGGREGATO'!D171</f>
        <v>95107.038247948411</v>
      </c>
      <c r="L170" s="15">
        <f t="shared" si="4"/>
        <v>95107.038247948411</v>
      </c>
      <c r="M170" s="15">
        <f t="shared" si="5"/>
        <v>0</v>
      </c>
    </row>
    <row r="171" spans="11:13" x14ac:dyDescent="0.3">
      <c r="K171" s="198">
        <f>'DANNO AGGREGATO'!D172</f>
        <v>98730.237284646268</v>
      </c>
      <c r="L171" s="15">
        <f t="shared" si="4"/>
        <v>98730.237284646268</v>
      </c>
      <c r="M171" s="15">
        <f t="shared" si="5"/>
        <v>0</v>
      </c>
    </row>
    <row r="172" spans="11:13" x14ac:dyDescent="0.3">
      <c r="K172" s="198">
        <f>'DANNO AGGREGATO'!D173</f>
        <v>111417.32056658671</v>
      </c>
      <c r="L172" s="15">
        <f t="shared" si="4"/>
        <v>105034.34882660338</v>
      </c>
      <c r="M172" s="15">
        <f t="shared" si="5"/>
        <v>6382.9717399833316</v>
      </c>
    </row>
    <row r="173" spans="11:13" x14ac:dyDescent="0.3">
      <c r="K173" s="198">
        <f>'DANNO AGGREGATO'!D174</f>
        <v>100727.97330783347</v>
      </c>
      <c r="L173" s="15">
        <f t="shared" si="4"/>
        <v>100727.97330783347</v>
      </c>
      <c r="M173" s="15">
        <f t="shared" si="5"/>
        <v>0</v>
      </c>
    </row>
    <row r="174" spans="11:13" x14ac:dyDescent="0.3">
      <c r="K174" s="198">
        <f>'DANNO AGGREGATO'!D175</f>
        <v>124803.47135368653</v>
      </c>
      <c r="L174" s="15">
        <f t="shared" si="4"/>
        <v>105034.34882660338</v>
      </c>
      <c r="M174" s="15">
        <f t="shared" si="5"/>
        <v>19769.122527083149</v>
      </c>
    </row>
    <row r="175" spans="11:13" x14ac:dyDescent="0.3">
      <c r="K175" s="198">
        <f>'DANNO AGGREGATO'!D176</f>
        <v>77973.78598042528</v>
      </c>
      <c r="L175" s="15">
        <f t="shared" si="4"/>
        <v>77973.78598042528</v>
      </c>
      <c r="M175" s="15">
        <f t="shared" si="5"/>
        <v>0</v>
      </c>
    </row>
    <row r="176" spans="11:13" x14ac:dyDescent="0.3">
      <c r="K176" s="198">
        <f>'DANNO AGGREGATO'!D177</f>
        <v>126222.36292789085</v>
      </c>
      <c r="L176" s="15">
        <f t="shared" si="4"/>
        <v>105034.34882660338</v>
      </c>
      <c r="M176" s="15">
        <f t="shared" si="5"/>
        <v>21188.014101287466</v>
      </c>
    </row>
    <row r="177" spans="11:13" x14ac:dyDescent="0.3">
      <c r="K177" s="198">
        <f>'DANNO AGGREGATO'!D178</f>
        <v>111092.65069822781</v>
      </c>
      <c r="L177" s="15">
        <f t="shared" si="4"/>
        <v>105034.34882660338</v>
      </c>
      <c r="M177" s="15">
        <f t="shared" si="5"/>
        <v>6058.301871624426</v>
      </c>
    </row>
    <row r="178" spans="11:13" x14ac:dyDescent="0.3">
      <c r="K178" s="198">
        <f>'DANNO AGGREGATO'!D179</f>
        <v>131391.5863348227</v>
      </c>
      <c r="L178" s="15">
        <f t="shared" si="4"/>
        <v>105034.34882660338</v>
      </c>
      <c r="M178" s="15">
        <f t="shared" si="5"/>
        <v>26357.237508219318</v>
      </c>
    </row>
    <row r="179" spans="11:13" x14ac:dyDescent="0.3">
      <c r="K179" s="198">
        <f>'DANNO AGGREGATO'!D180</f>
        <v>88177.274606959429</v>
      </c>
      <c r="L179" s="15">
        <f t="shared" si="4"/>
        <v>88177.274606959429</v>
      </c>
      <c r="M179" s="15">
        <f t="shared" si="5"/>
        <v>0</v>
      </c>
    </row>
    <row r="180" spans="11:13" x14ac:dyDescent="0.3">
      <c r="K180" s="198">
        <f>'DANNO AGGREGATO'!D181</f>
        <v>95750.185237874655</v>
      </c>
      <c r="L180" s="15">
        <f t="shared" si="4"/>
        <v>95750.185237874655</v>
      </c>
      <c r="M180" s="15">
        <f t="shared" si="5"/>
        <v>0</v>
      </c>
    </row>
    <row r="181" spans="11:13" x14ac:dyDescent="0.3">
      <c r="K181" s="198">
        <f>'DANNO AGGREGATO'!D182</f>
        <v>79928.60091911997</v>
      </c>
      <c r="L181" s="15">
        <f t="shared" si="4"/>
        <v>79928.60091911997</v>
      </c>
      <c r="M181" s="15">
        <f t="shared" si="5"/>
        <v>0</v>
      </c>
    </row>
    <row r="182" spans="11:13" x14ac:dyDescent="0.3">
      <c r="K182" s="198">
        <f>'DANNO AGGREGATO'!D183</f>
        <v>101910.72815030935</v>
      </c>
      <c r="L182" s="15">
        <f t="shared" si="4"/>
        <v>101910.72815030935</v>
      </c>
      <c r="M182" s="15">
        <f t="shared" si="5"/>
        <v>0</v>
      </c>
    </row>
    <row r="183" spans="11:13" x14ac:dyDescent="0.3">
      <c r="K183" s="198">
        <f>'DANNO AGGREGATO'!D184</f>
        <v>112300.0169791245</v>
      </c>
      <c r="L183" s="15">
        <f t="shared" si="4"/>
        <v>105034.34882660338</v>
      </c>
      <c r="M183" s="15">
        <f t="shared" si="5"/>
        <v>7265.668152521117</v>
      </c>
    </row>
    <row r="184" spans="11:13" x14ac:dyDescent="0.3">
      <c r="K184" s="198">
        <f>'DANNO AGGREGATO'!D185</f>
        <v>75775.604729966668</v>
      </c>
      <c r="L184" s="15">
        <f t="shared" si="4"/>
        <v>75775.604729966668</v>
      </c>
      <c r="M184" s="15">
        <f t="shared" si="5"/>
        <v>0</v>
      </c>
    </row>
    <row r="185" spans="11:13" x14ac:dyDescent="0.3">
      <c r="K185" s="198">
        <f>'DANNO AGGREGATO'!D186</f>
        <v>78785.302579739262</v>
      </c>
      <c r="L185" s="15">
        <f t="shared" si="4"/>
        <v>78785.302579739262</v>
      </c>
      <c r="M185" s="15">
        <f t="shared" si="5"/>
        <v>0</v>
      </c>
    </row>
    <row r="186" spans="11:13" x14ac:dyDescent="0.3">
      <c r="K186" s="198">
        <f>'DANNO AGGREGATO'!D187</f>
        <v>117587.60736276495</v>
      </c>
      <c r="L186" s="15">
        <f t="shared" si="4"/>
        <v>105034.34882660338</v>
      </c>
      <c r="M186" s="15">
        <f t="shared" si="5"/>
        <v>12553.258536161564</v>
      </c>
    </row>
    <row r="187" spans="11:13" x14ac:dyDescent="0.3">
      <c r="K187" s="198">
        <f>'DANNO AGGREGATO'!D188</f>
        <v>95814.167846834011</v>
      </c>
      <c r="L187" s="15">
        <f t="shared" si="4"/>
        <v>95814.167846834011</v>
      </c>
      <c r="M187" s="15">
        <f t="shared" si="5"/>
        <v>0</v>
      </c>
    </row>
    <row r="188" spans="11:13" x14ac:dyDescent="0.3">
      <c r="K188" s="198">
        <f>'DANNO AGGREGATO'!D189</f>
        <v>105436.58374285873</v>
      </c>
      <c r="L188" s="15">
        <f t="shared" si="4"/>
        <v>105034.34882660338</v>
      </c>
      <c r="M188" s="15">
        <f t="shared" si="5"/>
        <v>402.23491625534371</v>
      </c>
    </row>
    <row r="189" spans="11:13" x14ac:dyDescent="0.3">
      <c r="K189" s="198">
        <f>'DANNO AGGREGATO'!D190</f>
        <v>86917.000685318984</v>
      </c>
      <c r="L189" s="15">
        <f t="shared" si="4"/>
        <v>86917.000685318984</v>
      </c>
      <c r="M189" s="15">
        <f t="shared" si="5"/>
        <v>0</v>
      </c>
    </row>
    <row r="190" spans="11:13" x14ac:dyDescent="0.3">
      <c r="K190" s="198">
        <f>'DANNO AGGREGATO'!D191</f>
        <v>74876.437620948273</v>
      </c>
      <c r="L190" s="15">
        <f t="shared" si="4"/>
        <v>74876.437620948273</v>
      </c>
      <c r="M190" s="15">
        <f t="shared" si="5"/>
        <v>0</v>
      </c>
    </row>
    <row r="191" spans="11:13" x14ac:dyDescent="0.3">
      <c r="K191" s="198">
        <f>'DANNO AGGREGATO'!D192</f>
        <v>94099.865941885262</v>
      </c>
      <c r="L191" s="15">
        <f t="shared" si="4"/>
        <v>94099.865941885262</v>
      </c>
      <c r="M191" s="15">
        <f t="shared" si="5"/>
        <v>0</v>
      </c>
    </row>
    <row r="192" spans="11:13" x14ac:dyDescent="0.3">
      <c r="K192" s="198">
        <f>'DANNO AGGREGATO'!D193</f>
        <v>95551.385281872135</v>
      </c>
      <c r="L192" s="15">
        <f t="shared" si="4"/>
        <v>95551.385281872135</v>
      </c>
      <c r="M192" s="15">
        <f t="shared" si="5"/>
        <v>0</v>
      </c>
    </row>
    <row r="193" spans="11:13" x14ac:dyDescent="0.3">
      <c r="K193" s="198">
        <f>'DANNO AGGREGATO'!D194</f>
        <v>86513.031802697398</v>
      </c>
      <c r="L193" s="15">
        <f t="shared" si="4"/>
        <v>86513.031802697398</v>
      </c>
      <c r="M193" s="15">
        <f t="shared" si="5"/>
        <v>0</v>
      </c>
    </row>
    <row r="194" spans="11:13" x14ac:dyDescent="0.3">
      <c r="K194" s="198">
        <f>'DANNO AGGREGATO'!D195</f>
        <v>77397.585460823277</v>
      </c>
      <c r="L194" s="15">
        <f t="shared" si="4"/>
        <v>77397.585460823277</v>
      </c>
      <c r="M194" s="15">
        <f t="shared" si="5"/>
        <v>0</v>
      </c>
    </row>
    <row r="195" spans="11:13" x14ac:dyDescent="0.3">
      <c r="K195" s="198">
        <f>'DANNO AGGREGATO'!D196</f>
        <v>81174.019068526643</v>
      </c>
      <c r="L195" s="15">
        <f t="shared" ref="L195:L258" si="6">IF(K195&lt;=$B$9,K195,$B$9)</f>
        <v>81174.019068526643</v>
      </c>
      <c r="M195" s="15">
        <f t="shared" ref="M195:M258" si="7">K195-L195</f>
        <v>0</v>
      </c>
    </row>
    <row r="196" spans="11:13" x14ac:dyDescent="0.3">
      <c r="K196" s="198">
        <f>'DANNO AGGREGATO'!D197</f>
        <v>92279.798631645157</v>
      </c>
      <c r="L196" s="15">
        <f t="shared" si="6"/>
        <v>92279.798631645157</v>
      </c>
      <c r="M196" s="15">
        <f t="shared" si="7"/>
        <v>0</v>
      </c>
    </row>
    <row r="197" spans="11:13" x14ac:dyDescent="0.3">
      <c r="K197" s="198">
        <f>'DANNO AGGREGATO'!D198</f>
        <v>62071.348132736224</v>
      </c>
      <c r="L197" s="15">
        <f t="shared" si="6"/>
        <v>62071.348132736224</v>
      </c>
      <c r="M197" s="15">
        <f t="shared" si="7"/>
        <v>0</v>
      </c>
    </row>
    <row r="198" spans="11:13" x14ac:dyDescent="0.3">
      <c r="K198" s="198">
        <f>'DANNO AGGREGATO'!D199</f>
        <v>79999.704406172707</v>
      </c>
      <c r="L198" s="15">
        <f t="shared" si="6"/>
        <v>79999.704406172707</v>
      </c>
      <c r="M198" s="15">
        <f t="shared" si="7"/>
        <v>0</v>
      </c>
    </row>
    <row r="199" spans="11:13" x14ac:dyDescent="0.3">
      <c r="K199" s="198">
        <f>'DANNO AGGREGATO'!D200</f>
        <v>104336.23934744093</v>
      </c>
      <c r="L199" s="15">
        <f t="shared" si="6"/>
        <v>104336.23934744093</v>
      </c>
      <c r="M199" s="15">
        <f t="shared" si="7"/>
        <v>0</v>
      </c>
    </row>
    <row r="200" spans="11:13" x14ac:dyDescent="0.3">
      <c r="K200" s="198">
        <f>'DANNO AGGREGATO'!D201</f>
        <v>90465.271676427481</v>
      </c>
      <c r="L200" s="15">
        <f t="shared" si="6"/>
        <v>90465.271676427481</v>
      </c>
      <c r="M200" s="15">
        <f t="shared" si="7"/>
        <v>0</v>
      </c>
    </row>
    <row r="201" spans="11:13" x14ac:dyDescent="0.3">
      <c r="K201" s="198">
        <f>'DANNO AGGREGATO'!D202</f>
        <v>81224.146157391166</v>
      </c>
      <c r="L201" s="15">
        <f t="shared" si="6"/>
        <v>81224.146157391166</v>
      </c>
      <c r="M201" s="15">
        <f t="shared" si="7"/>
        <v>0</v>
      </c>
    </row>
    <row r="202" spans="11:13" x14ac:dyDescent="0.3">
      <c r="K202" s="198">
        <f>'DANNO AGGREGATO'!D203</f>
        <v>79752.24936857642</v>
      </c>
      <c r="L202" s="15">
        <f t="shared" si="6"/>
        <v>79752.24936857642</v>
      </c>
      <c r="M202" s="15">
        <f t="shared" si="7"/>
        <v>0</v>
      </c>
    </row>
    <row r="203" spans="11:13" x14ac:dyDescent="0.3">
      <c r="K203" s="198">
        <f>'DANNO AGGREGATO'!D204</f>
        <v>82923.833991243315</v>
      </c>
      <c r="L203" s="15">
        <f t="shared" si="6"/>
        <v>82923.833991243315</v>
      </c>
      <c r="M203" s="15">
        <f t="shared" si="7"/>
        <v>0</v>
      </c>
    </row>
    <row r="204" spans="11:13" x14ac:dyDescent="0.3">
      <c r="K204" s="198">
        <f>'DANNO AGGREGATO'!D205</f>
        <v>79345.678119026154</v>
      </c>
      <c r="L204" s="15">
        <f t="shared" si="6"/>
        <v>79345.678119026154</v>
      </c>
      <c r="M204" s="15">
        <f t="shared" si="7"/>
        <v>0</v>
      </c>
    </row>
    <row r="205" spans="11:13" x14ac:dyDescent="0.3">
      <c r="K205" s="198">
        <f>'DANNO AGGREGATO'!D206</f>
        <v>105371.01945728139</v>
      </c>
      <c r="L205" s="15">
        <f t="shared" si="6"/>
        <v>105034.34882660338</v>
      </c>
      <c r="M205" s="15">
        <f t="shared" si="7"/>
        <v>336.67063067801064</v>
      </c>
    </row>
    <row r="206" spans="11:13" x14ac:dyDescent="0.3">
      <c r="K206" s="198">
        <f>'DANNO AGGREGATO'!D207</f>
        <v>78578.203629564494</v>
      </c>
      <c r="L206" s="15">
        <f t="shared" si="6"/>
        <v>78578.203629564494</v>
      </c>
      <c r="M206" s="15">
        <f t="shared" si="7"/>
        <v>0</v>
      </c>
    </row>
    <row r="207" spans="11:13" x14ac:dyDescent="0.3">
      <c r="K207" s="198">
        <f>'DANNO AGGREGATO'!D208</f>
        <v>70576.752156841481</v>
      </c>
      <c r="L207" s="15">
        <f t="shared" si="6"/>
        <v>70576.752156841481</v>
      </c>
      <c r="M207" s="15">
        <f t="shared" si="7"/>
        <v>0</v>
      </c>
    </row>
    <row r="208" spans="11:13" x14ac:dyDescent="0.3">
      <c r="K208" s="198">
        <f>'DANNO AGGREGATO'!D209</f>
        <v>69226.144278380147</v>
      </c>
      <c r="L208" s="15">
        <f t="shared" si="6"/>
        <v>69226.144278380147</v>
      </c>
      <c r="M208" s="15">
        <f t="shared" si="7"/>
        <v>0</v>
      </c>
    </row>
    <row r="209" spans="11:13" x14ac:dyDescent="0.3">
      <c r="K209" s="198">
        <f>'DANNO AGGREGATO'!D210</f>
        <v>75883.396391840579</v>
      </c>
      <c r="L209" s="15">
        <f t="shared" si="6"/>
        <v>75883.396391840579</v>
      </c>
      <c r="M209" s="15">
        <f t="shared" si="7"/>
        <v>0</v>
      </c>
    </row>
    <row r="210" spans="11:13" x14ac:dyDescent="0.3">
      <c r="K210" s="198">
        <f>'DANNO AGGREGATO'!D211</f>
        <v>104990.06660282696</v>
      </c>
      <c r="L210" s="15">
        <f t="shared" si="6"/>
        <v>104990.06660282696</v>
      </c>
      <c r="M210" s="15">
        <f t="shared" si="7"/>
        <v>0</v>
      </c>
    </row>
    <row r="211" spans="11:13" x14ac:dyDescent="0.3">
      <c r="K211" s="198">
        <f>'DANNO AGGREGATO'!D212</f>
        <v>84677.419222660596</v>
      </c>
      <c r="L211" s="15">
        <f t="shared" si="6"/>
        <v>84677.419222660596</v>
      </c>
      <c r="M211" s="15">
        <f t="shared" si="7"/>
        <v>0</v>
      </c>
    </row>
    <row r="212" spans="11:13" x14ac:dyDescent="0.3">
      <c r="K212" s="198">
        <f>'DANNO AGGREGATO'!D213</f>
        <v>93269.519124595347</v>
      </c>
      <c r="L212" s="15">
        <f t="shared" si="6"/>
        <v>93269.519124595347</v>
      </c>
      <c r="M212" s="15">
        <f t="shared" si="7"/>
        <v>0</v>
      </c>
    </row>
    <row r="213" spans="11:13" x14ac:dyDescent="0.3">
      <c r="K213" s="198">
        <f>'DANNO AGGREGATO'!D214</f>
        <v>101157.87541732025</v>
      </c>
      <c r="L213" s="15">
        <f t="shared" si="6"/>
        <v>101157.87541732025</v>
      </c>
      <c r="M213" s="15">
        <f t="shared" si="7"/>
        <v>0</v>
      </c>
    </row>
    <row r="214" spans="11:13" x14ac:dyDescent="0.3">
      <c r="K214" s="198">
        <f>'DANNO AGGREGATO'!D215</f>
        <v>96195.460340850885</v>
      </c>
      <c r="L214" s="15">
        <f t="shared" si="6"/>
        <v>96195.460340850885</v>
      </c>
      <c r="M214" s="15">
        <f t="shared" si="7"/>
        <v>0</v>
      </c>
    </row>
    <row r="215" spans="11:13" x14ac:dyDescent="0.3">
      <c r="K215" s="198">
        <f>'DANNO AGGREGATO'!D216</f>
        <v>99741.81146198987</v>
      </c>
      <c r="L215" s="15">
        <f t="shared" si="6"/>
        <v>99741.81146198987</v>
      </c>
      <c r="M215" s="15">
        <f t="shared" si="7"/>
        <v>0</v>
      </c>
    </row>
    <row r="216" spans="11:13" x14ac:dyDescent="0.3">
      <c r="K216" s="198">
        <f>'DANNO AGGREGATO'!D217</f>
        <v>92885.081629394233</v>
      </c>
      <c r="L216" s="15">
        <f t="shared" si="6"/>
        <v>92885.081629394233</v>
      </c>
      <c r="M216" s="15">
        <f t="shared" si="7"/>
        <v>0</v>
      </c>
    </row>
    <row r="217" spans="11:13" x14ac:dyDescent="0.3">
      <c r="K217" s="198">
        <f>'DANNO AGGREGATO'!D218</f>
        <v>77164.326649768758</v>
      </c>
      <c r="L217" s="15">
        <f t="shared" si="6"/>
        <v>77164.326649768758</v>
      </c>
      <c r="M217" s="15">
        <f t="shared" si="7"/>
        <v>0</v>
      </c>
    </row>
    <row r="218" spans="11:13" x14ac:dyDescent="0.3">
      <c r="K218" s="198">
        <f>'DANNO AGGREGATO'!D219</f>
        <v>66303.158987619303</v>
      </c>
      <c r="L218" s="15">
        <f t="shared" si="6"/>
        <v>66303.158987619303</v>
      </c>
      <c r="M218" s="15">
        <f t="shared" si="7"/>
        <v>0</v>
      </c>
    </row>
    <row r="219" spans="11:13" x14ac:dyDescent="0.3">
      <c r="K219" s="198">
        <f>'DANNO AGGREGATO'!D220</f>
        <v>106425.53836299331</v>
      </c>
      <c r="L219" s="15">
        <f t="shared" si="6"/>
        <v>105034.34882660338</v>
      </c>
      <c r="M219" s="15">
        <f t="shared" si="7"/>
        <v>1391.1895363899239</v>
      </c>
    </row>
    <row r="220" spans="11:13" x14ac:dyDescent="0.3">
      <c r="K220" s="198">
        <f>'DANNO AGGREGATO'!D221</f>
        <v>81612.250284858601</v>
      </c>
      <c r="L220" s="15">
        <f t="shared" si="6"/>
        <v>81612.250284858601</v>
      </c>
      <c r="M220" s="15">
        <f t="shared" si="7"/>
        <v>0</v>
      </c>
    </row>
    <row r="221" spans="11:13" x14ac:dyDescent="0.3">
      <c r="K221" s="198">
        <f>'DANNO AGGREGATO'!D222</f>
        <v>88489.672927204461</v>
      </c>
      <c r="L221" s="15">
        <f t="shared" si="6"/>
        <v>88489.672927204461</v>
      </c>
      <c r="M221" s="15">
        <f t="shared" si="7"/>
        <v>0</v>
      </c>
    </row>
    <row r="222" spans="11:13" x14ac:dyDescent="0.3">
      <c r="K222" s="198">
        <f>'DANNO AGGREGATO'!D223</f>
        <v>77736.860409697372</v>
      </c>
      <c r="L222" s="15">
        <f t="shared" si="6"/>
        <v>77736.860409697372</v>
      </c>
      <c r="M222" s="15">
        <f t="shared" si="7"/>
        <v>0</v>
      </c>
    </row>
    <row r="223" spans="11:13" x14ac:dyDescent="0.3">
      <c r="K223" s="198">
        <f>'DANNO AGGREGATO'!D224</f>
        <v>114286.21922361395</v>
      </c>
      <c r="L223" s="15">
        <f t="shared" si="6"/>
        <v>105034.34882660338</v>
      </c>
      <c r="M223" s="15">
        <f t="shared" si="7"/>
        <v>9251.8703970105707</v>
      </c>
    </row>
    <row r="224" spans="11:13" x14ac:dyDescent="0.3">
      <c r="K224" s="198">
        <f>'DANNO AGGREGATO'!D225</f>
        <v>111987.84018654407</v>
      </c>
      <c r="L224" s="15">
        <f t="shared" si="6"/>
        <v>105034.34882660338</v>
      </c>
      <c r="M224" s="15">
        <f t="shared" si="7"/>
        <v>6953.4913599406864</v>
      </c>
    </row>
    <row r="225" spans="11:13" x14ac:dyDescent="0.3">
      <c r="K225" s="198">
        <f>'DANNO AGGREGATO'!D226</f>
        <v>90138.81768248952</v>
      </c>
      <c r="L225" s="15">
        <f t="shared" si="6"/>
        <v>90138.81768248952</v>
      </c>
      <c r="M225" s="15">
        <f t="shared" si="7"/>
        <v>0</v>
      </c>
    </row>
    <row r="226" spans="11:13" x14ac:dyDescent="0.3">
      <c r="K226" s="198">
        <f>'DANNO AGGREGATO'!D227</f>
        <v>86819.100473290702</v>
      </c>
      <c r="L226" s="15">
        <f t="shared" si="6"/>
        <v>86819.100473290702</v>
      </c>
      <c r="M226" s="15">
        <f t="shared" si="7"/>
        <v>0</v>
      </c>
    </row>
    <row r="227" spans="11:13" x14ac:dyDescent="0.3">
      <c r="K227" s="198">
        <f>'DANNO AGGREGATO'!D228</f>
        <v>101025.78391504088</v>
      </c>
      <c r="L227" s="15">
        <f t="shared" si="6"/>
        <v>101025.78391504088</v>
      </c>
      <c r="M227" s="15">
        <f t="shared" si="7"/>
        <v>0</v>
      </c>
    </row>
    <row r="228" spans="11:13" x14ac:dyDescent="0.3">
      <c r="K228" s="198">
        <f>'DANNO AGGREGATO'!D229</f>
        <v>130084.23404735465</v>
      </c>
      <c r="L228" s="15">
        <f t="shared" si="6"/>
        <v>105034.34882660338</v>
      </c>
      <c r="M228" s="15">
        <f t="shared" si="7"/>
        <v>25049.885220751268</v>
      </c>
    </row>
    <row r="229" spans="11:13" x14ac:dyDescent="0.3">
      <c r="K229" s="198">
        <f>'DANNO AGGREGATO'!D230</f>
        <v>87719.435082269803</v>
      </c>
      <c r="L229" s="15">
        <f t="shared" si="6"/>
        <v>87719.435082269803</v>
      </c>
      <c r="M229" s="15">
        <f t="shared" si="7"/>
        <v>0</v>
      </c>
    </row>
    <row r="230" spans="11:13" x14ac:dyDescent="0.3">
      <c r="K230" s="198">
        <f>'DANNO AGGREGATO'!D231</f>
        <v>73220.542151884321</v>
      </c>
      <c r="L230" s="15">
        <f t="shared" si="6"/>
        <v>73220.542151884321</v>
      </c>
      <c r="M230" s="15">
        <f t="shared" si="7"/>
        <v>0</v>
      </c>
    </row>
    <row r="231" spans="11:13" x14ac:dyDescent="0.3">
      <c r="K231" s="198">
        <f>'DANNO AGGREGATO'!D232</f>
        <v>138040.06677855403</v>
      </c>
      <c r="L231" s="15">
        <f t="shared" si="6"/>
        <v>105034.34882660338</v>
      </c>
      <c r="M231" s="15">
        <f t="shared" si="7"/>
        <v>33005.717951950646</v>
      </c>
    </row>
    <row r="232" spans="11:13" x14ac:dyDescent="0.3">
      <c r="K232" s="198">
        <f>'DANNO AGGREGATO'!D233</f>
        <v>82272.201041682536</v>
      </c>
      <c r="L232" s="15">
        <f t="shared" si="6"/>
        <v>82272.201041682536</v>
      </c>
      <c r="M232" s="15">
        <f t="shared" si="7"/>
        <v>0</v>
      </c>
    </row>
    <row r="233" spans="11:13" x14ac:dyDescent="0.3">
      <c r="K233" s="198">
        <f>'DANNO AGGREGATO'!D234</f>
        <v>58988.093718855678</v>
      </c>
      <c r="L233" s="15">
        <f t="shared" si="6"/>
        <v>58988.093718855678</v>
      </c>
      <c r="M233" s="15">
        <f t="shared" si="7"/>
        <v>0</v>
      </c>
    </row>
    <row r="234" spans="11:13" x14ac:dyDescent="0.3">
      <c r="K234" s="198">
        <f>'DANNO AGGREGATO'!D235</f>
        <v>100030.02766302769</v>
      </c>
      <c r="L234" s="15">
        <f t="shared" si="6"/>
        <v>100030.02766302769</v>
      </c>
      <c r="M234" s="15">
        <f t="shared" si="7"/>
        <v>0</v>
      </c>
    </row>
    <row r="235" spans="11:13" x14ac:dyDescent="0.3">
      <c r="K235" s="198">
        <f>'DANNO AGGREGATO'!D236</f>
        <v>100486.13855760277</v>
      </c>
      <c r="L235" s="15">
        <f t="shared" si="6"/>
        <v>100486.13855760277</v>
      </c>
      <c r="M235" s="15">
        <f t="shared" si="7"/>
        <v>0</v>
      </c>
    </row>
    <row r="236" spans="11:13" x14ac:dyDescent="0.3">
      <c r="K236" s="198">
        <f>'DANNO AGGREGATO'!D237</f>
        <v>85983.124121277549</v>
      </c>
      <c r="L236" s="15">
        <f t="shared" si="6"/>
        <v>85983.124121277549</v>
      </c>
      <c r="M236" s="15">
        <f t="shared" si="7"/>
        <v>0</v>
      </c>
    </row>
    <row r="237" spans="11:13" x14ac:dyDescent="0.3">
      <c r="K237" s="198">
        <f>'DANNO AGGREGATO'!D238</f>
        <v>80637.970675908669</v>
      </c>
      <c r="L237" s="15">
        <f t="shared" si="6"/>
        <v>80637.970675908669</v>
      </c>
      <c r="M237" s="15">
        <f t="shared" si="7"/>
        <v>0</v>
      </c>
    </row>
    <row r="238" spans="11:13" x14ac:dyDescent="0.3">
      <c r="K238" s="198">
        <f>'DANNO AGGREGATO'!D239</f>
        <v>129035.83084473676</v>
      </c>
      <c r="L238" s="15">
        <f t="shared" si="6"/>
        <v>105034.34882660338</v>
      </c>
      <c r="M238" s="15">
        <f t="shared" si="7"/>
        <v>24001.482018133378</v>
      </c>
    </row>
    <row r="239" spans="11:13" x14ac:dyDescent="0.3">
      <c r="K239" s="198">
        <f>'DANNO AGGREGATO'!D240</f>
        <v>95600.373486793353</v>
      </c>
      <c r="L239" s="15">
        <f t="shared" si="6"/>
        <v>95600.373486793353</v>
      </c>
      <c r="M239" s="15">
        <f t="shared" si="7"/>
        <v>0</v>
      </c>
    </row>
    <row r="240" spans="11:13" x14ac:dyDescent="0.3">
      <c r="K240" s="198">
        <f>'DANNO AGGREGATO'!D241</f>
        <v>94925.654401752487</v>
      </c>
      <c r="L240" s="15">
        <f t="shared" si="6"/>
        <v>94925.654401752487</v>
      </c>
      <c r="M240" s="15">
        <f t="shared" si="7"/>
        <v>0</v>
      </c>
    </row>
    <row r="241" spans="11:13" x14ac:dyDescent="0.3">
      <c r="K241" s="198">
        <f>'DANNO AGGREGATO'!D242</f>
        <v>76226.420128388214</v>
      </c>
      <c r="L241" s="15">
        <f t="shared" si="6"/>
        <v>76226.420128388214</v>
      </c>
      <c r="M241" s="15">
        <f t="shared" si="7"/>
        <v>0</v>
      </c>
    </row>
    <row r="242" spans="11:13" x14ac:dyDescent="0.3">
      <c r="K242" s="198">
        <f>'DANNO AGGREGATO'!D243</f>
        <v>68962.50057418106</v>
      </c>
      <c r="L242" s="15">
        <f t="shared" si="6"/>
        <v>68962.50057418106</v>
      </c>
      <c r="M242" s="15">
        <f t="shared" si="7"/>
        <v>0</v>
      </c>
    </row>
    <row r="243" spans="11:13" x14ac:dyDescent="0.3">
      <c r="K243" s="198">
        <f>'DANNO AGGREGATO'!D244</f>
        <v>105912.03591782098</v>
      </c>
      <c r="L243" s="15">
        <f t="shared" si="6"/>
        <v>105034.34882660338</v>
      </c>
      <c r="M243" s="15">
        <f t="shared" si="7"/>
        <v>877.68709121759457</v>
      </c>
    </row>
    <row r="244" spans="11:13" x14ac:dyDescent="0.3">
      <c r="K244" s="198">
        <f>'DANNO AGGREGATO'!D245</f>
        <v>75582.381205071142</v>
      </c>
      <c r="L244" s="15">
        <f t="shared" si="6"/>
        <v>75582.381205071142</v>
      </c>
      <c r="M244" s="15">
        <f t="shared" si="7"/>
        <v>0</v>
      </c>
    </row>
    <row r="245" spans="11:13" x14ac:dyDescent="0.3">
      <c r="K245" s="198">
        <f>'DANNO AGGREGATO'!D246</f>
        <v>88243.187413817548</v>
      </c>
      <c r="L245" s="15">
        <f t="shared" si="6"/>
        <v>88243.187413817548</v>
      </c>
      <c r="M245" s="15">
        <f t="shared" si="7"/>
        <v>0</v>
      </c>
    </row>
    <row r="246" spans="11:13" x14ac:dyDescent="0.3">
      <c r="K246" s="198">
        <f>'DANNO AGGREGATO'!D247</f>
        <v>119826.46490748013</v>
      </c>
      <c r="L246" s="15">
        <f t="shared" si="6"/>
        <v>105034.34882660338</v>
      </c>
      <c r="M246" s="15">
        <f t="shared" si="7"/>
        <v>14792.116080876745</v>
      </c>
    </row>
    <row r="247" spans="11:13" x14ac:dyDescent="0.3">
      <c r="K247" s="198">
        <f>'DANNO AGGREGATO'!D248</f>
        <v>122933.19876531955</v>
      </c>
      <c r="L247" s="15">
        <f t="shared" si="6"/>
        <v>105034.34882660338</v>
      </c>
      <c r="M247" s="15">
        <f t="shared" si="7"/>
        <v>17898.849938716172</v>
      </c>
    </row>
    <row r="248" spans="11:13" x14ac:dyDescent="0.3">
      <c r="K248" s="198">
        <f>'DANNO AGGREGATO'!D249</f>
        <v>89702.420212319223</v>
      </c>
      <c r="L248" s="15">
        <f t="shared" si="6"/>
        <v>89702.420212319223</v>
      </c>
      <c r="M248" s="15">
        <f t="shared" si="7"/>
        <v>0</v>
      </c>
    </row>
    <row r="249" spans="11:13" x14ac:dyDescent="0.3">
      <c r="K249" s="198">
        <f>'DANNO AGGREGATO'!D250</f>
        <v>91514.800728128932</v>
      </c>
      <c r="L249" s="15">
        <f t="shared" si="6"/>
        <v>91514.800728128932</v>
      </c>
      <c r="M249" s="15">
        <f t="shared" si="7"/>
        <v>0</v>
      </c>
    </row>
    <row r="250" spans="11:13" x14ac:dyDescent="0.3">
      <c r="K250" s="198">
        <f>'DANNO AGGREGATO'!D251</f>
        <v>94546.464528387471</v>
      </c>
      <c r="L250" s="15">
        <f t="shared" si="6"/>
        <v>94546.464528387471</v>
      </c>
      <c r="M250" s="15">
        <f t="shared" si="7"/>
        <v>0</v>
      </c>
    </row>
    <row r="251" spans="11:13" x14ac:dyDescent="0.3">
      <c r="K251" s="198">
        <f>'DANNO AGGREGATO'!D252</f>
        <v>113336.42403526095</v>
      </c>
      <c r="L251" s="15">
        <f t="shared" si="6"/>
        <v>105034.34882660338</v>
      </c>
      <c r="M251" s="15">
        <f t="shared" si="7"/>
        <v>8302.0752086575667</v>
      </c>
    </row>
    <row r="252" spans="11:13" x14ac:dyDescent="0.3">
      <c r="K252" s="198">
        <f>'DANNO AGGREGATO'!D253</f>
        <v>82547.873664893079</v>
      </c>
      <c r="L252" s="15">
        <f t="shared" si="6"/>
        <v>82547.873664893079</v>
      </c>
      <c r="M252" s="15">
        <f t="shared" si="7"/>
        <v>0</v>
      </c>
    </row>
    <row r="253" spans="11:13" x14ac:dyDescent="0.3">
      <c r="K253" s="198">
        <f>'DANNO AGGREGATO'!D254</f>
        <v>64768.679984587492</v>
      </c>
      <c r="L253" s="15">
        <f t="shared" si="6"/>
        <v>64768.679984587492</v>
      </c>
      <c r="M253" s="15">
        <f t="shared" si="7"/>
        <v>0</v>
      </c>
    </row>
    <row r="254" spans="11:13" x14ac:dyDescent="0.3">
      <c r="K254" s="198">
        <f>'DANNO AGGREGATO'!D255</f>
        <v>92411.474145805318</v>
      </c>
      <c r="L254" s="15">
        <f t="shared" si="6"/>
        <v>92411.474145805318</v>
      </c>
      <c r="M254" s="15">
        <f t="shared" si="7"/>
        <v>0</v>
      </c>
    </row>
    <row r="255" spans="11:13" x14ac:dyDescent="0.3">
      <c r="K255" s="198">
        <f>'DANNO AGGREGATO'!D256</f>
        <v>95006.254890997428</v>
      </c>
      <c r="L255" s="15">
        <f t="shared" si="6"/>
        <v>95006.254890997428</v>
      </c>
      <c r="M255" s="15">
        <f t="shared" si="7"/>
        <v>0</v>
      </c>
    </row>
    <row r="256" spans="11:13" x14ac:dyDescent="0.3">
      <c r="K256" s="198">
        <f>'DANNO AGGREGATO'!D257</f>
        <v>85391.199082910884</v>
      </c>
      <c r="L256" s="15">
        <f t="shared" si="6"/>
        <v>85391.199082910884</v>
      </c>
      <c r="M256" s="15">
        <f t="shared" si="7"/>
        <v>0</v>
      </c>
    </row>
    <row r="257" spans="11:13" x14ac:dyDescent="0.3">
      <c r="K257" s="198">
        <f>'DANNO AGGREGATO'!D258</f>
        <v>92357.962933361443</v>
      </c>
      <c r="L257" s="15">
        <f t="shared" si="6"/>
        <v>92357.962933361443</v>
      </c>
      <c r="M257" s="15">
        <f t="shared" si="7"/>
        <v>0</v>
      </c>
    </row>
    <row r="258" spans="11:13" x14ac:dyDescent="0.3">
      <c r="K258" s="198">
        <f>'DANNO AGGREGATO'!D259</f>
        <v>111888.24875206828</v>
      </c>
      <c r="L258" s="15">
        <f t="shared" si="6"/>
        <v>105034.34882660338</v>
      </c>
      <c r="M258" s="15">
        <f t="shared" si="7"/>
        <v>6853.8999254648952</v>
      </c>
    </row>
    <row r="259" spans="11:13" x14ac:dyDescent="0.3">
      <c r="K259" s="198">
        <f>'DANNO AGGREGATO'!D260</f>
        <v>117703.12755848985</v>
      </c>
      <c r="L259" s="15">
        <f t="shared" ref="L259:L322" si="8">IF(K259&lt;=$B$9,K259,$B$9)</f>
        <v>105034.34882660338</v>
      </c>
      <c r="M259" s="15">
        <f t="shared" ref="M259:M322" si="9">K259-L259</f>
        <v>12668.778731886472</v>
      </c>
    </row>
    <row r="260" spans="11:13" x14ac:dyDescent="0.3">
      <c r="K260" s="198">
        <f>'DANNO AGGREGATO'!D261</f>
        <v>97619.264105490802</v>
      </c>
      <c r="L260" s="15">
        <f t="shared" si="8"/>
        <v>97619.264105490802</v>
      </c>
      <c r="M260" s="15">
        <f t="shared" si="9"/>
        <v>0</v>
      </c>
    </row>
    <row r="261" spans="11:13" x14ac:dyDescent="0.3">
      <c r="K261" s="198">
        <f>'DANNO AGGREGATO'!D262</f>
        <v>70374.869710036161</v>
      </c>
      <c r="L261" s="15">
        <f t="shared" si="8"/>
        <v>70374.869710036161</v>
      </c>
      <c r="M261" s="15">
        <f t="shared" si="9"/>
        <v>0</v>
      </c>
    </row>
    <row r="262" spans="11:13" x14ac:dyDescent="0.3">
      <c r="K262" s="198">
        <f>'DANNO AGGREGATO'!D263</f>
        <v>103309.06337110311</v>
      </c>
      <c r="L262" s="15">
        <f t="shared" si="8"/>
        <v>103309.06337110311</v>
      </c>
      <c r="M262" s="15">
        <f t="shared" si="9"/>
        <v>0</v>
      </c>
    </row>
    <row r="263" spans="11:13" x14ac:dyDescent="0.3">
      <c r="K263" s="198">
        <f>'DANNO AGGREGATO'!D264</f>
        <v>74623.472537785055</v>
      </c>
      <c r="L263" s="15">
        <f t="shared" si="8"/>
        <v>74623.472537785055</v>
      </c>
      <c r="M263" s="15">
        <f t="shared" si="9"/>
        <v>0</v>
      </c>
    </row>
    <row r="264" spans="11:13" x14ac:dyDescent="0.3">
      <c r="K264" s="198">
        <f>'DANNO AGGREGATO'!D265</f>
        <v>82097.221032249756</v>
      </c>
      <c r="L264" s="15">
        <f t="shared" si="8"/>
        <v>82097.221032249756</v>
      </c>
      <c r="M264" s="15">
        <f t="shared" si="9"/>
        <v>0</v>
      </c>
    </row>
    <row r="265" spans="11:13" x14ac:dyDescent="0.3">
      <c r="K265" s="198">
        <f>'DANNO AGGREGATO'!D266</f>
        <v>143194.3320919672</v>
      </c>
      <c r="L265" s="15">
        <f t="shared" si="8"/>
        <v>105034.34882660338</v>
      </c>
      <c r="M265" s="15">
        <f t="shared" si="9"/>
        <v>38159.983265363815</v>
      </c>
    </row>
    <row r="266" spans="11:13" x14ac:dyDescent="0.3">
      <c r="K266" s="198">
        <f>'DANNO AGGREGATO'!D267</f>
        <v>101887.52540577641</v>
      </c>
      <c r="L266" s="15">
        <f t="shared" si="8"/>
        <v>101887.52540577641</v>
      </c>
      <c r="M266" s="15">
        <f t="shared" si="9"/>
        <v>0</v>
      </c>
    </row>
    <row r="267" spans="11:13" x14ac:dyDescent="0.3">
      <c r="K267" s="198">
        <f>'DANNO AGGREGATO'!D268</f>
        <v>89849.85099039365</v>
      </c>
      <c r="L267" s="15">
        <f t="shared" si="8"/>
        <v>89849.85099039365</v>
      </c>
      <c r="M267" s="15">
        <f t="shared" si="9"/>
        <v>0</v>
      </c>
    </row>
    <row r="268" spans="11:13" x14ac:dyDescent="0.3">
      <c r="K268" s="198">
        <f>'DANNO AGGREGATO'!D269</f>
        <v>81343.239444706036</v>
      </c>
      <c r="L268" s="15">
        <f t="shared" si="8"/>
        <v>81343.239444706036</v>
      </c>
      <c r="M268" s="15">
        <f t="shared" si="9"/>
        <v>0</v>
      </c>
    </row>
    <row r="269" spans="11:13" x14ac:dyDescent="0.3">
      <c r="K269" s="198">
        <f>'DANNO AGGREGATO'!D270</f>
        <v>97800.943664848761</v>
      </c>
      <c r="L269" s="15">
        <f t="shared" si="8"/>
        <v>97800.943664848761</v>
      </c>
      <c r="M269" s="15">
        <f t="shared" si="9"/>
        <v>0</v>
      </c>
    </row>
    <row r="270" spans="11:13" x14ac:dyDescent="0.3">
      <c r="K270" s="198">
        <f>'DANNO AGGREGATO'!D271</f>
        <v>79488.380033062364</v>
      </c>
      <c r="L270" s="15">
        <f t="shared" si="8"/>
        <v>79488.380033062364</v>
      </c>
      <c r="M270" s="15">
        <f t="shared" si="9"/>
        <v>0</v>
      </c>
    </row>
    <row r="271" spans="11:13" x14ac:dyDescent="0.3">
      <c r="K271" s="198">
        <f>'DANNO AGGREGATO'!D272</f>
        <v>95126.974381407985</v>
      </c>
      <c r="L271" s="15">
        <f t="shared" si="8"/>
        <v>95126.974381407985</v>
      </c>
      <c r="M271" s="15">
        <f t="shared" si="9"/>
        <v>0</v>
      </c>
    </row>
    <row r="272" spans="11:13" x14ac:dyDescent="0.3">
      <c r="K272" s="198">
        <f>'DANNO AGGREGATO'!D273</f>
        <v>86265.489157636111</v>
      </c>
      <c r="L272" s="15">
        <f t="shared" si="8"/>
        <v>86265.489157636111</v>
      </c>
      <c r="M272" s="15">
        <f t="shared" si="9"/>
        <v>0</v>
      </c>
    </row>
    <row r="273" spans="11:13" x14ac:dyDescent="0.3">
      <c r="K273" s="198">
        <f>'DANNO AGGREGATO'!D274</f>
        <v>110164.64083743189</v>
      </c>
      <c r="L273" s="15">
        <f t="shared" si="8"/>
        <v>105034.34882660338</v>
      </c>
      <c r="M273" s="15">
        <f t="shared" si="9"/>
        <v>5130.2920108285034</v>
      </c>
    </row>
    <row r="274" spans="11:13" x14ac:dyDescent="0.3">
      <c r="K274" s="198">
        <f>'DANNO AGGREGATO'!D275</f>
        <v>95391.14316779215</v>
      </c>
      <c r="L274" s="15">
        <f t="shared" si="8"/>
        <v>95391.14316779215</v>
      </c>
      <c r="M274" s="15">
        <f t="shared" si="9"/>
        <v>0</v>
      </c>
    </row>
    <row r="275" spans="11:13" x14ac:dyDescent="0.3">
      <c r="K275" s="198">
        <f>'DANNO AGGREGATO'!D276</f>
        <v>87927.372803283215</v>
      </c>
      <c r="L275" s="15">
        <f t="shared" si="8"/>
        <v>87927.372803283215</v>
      </c>
      <c r="M275" s="15">
        <f t="shared" si="9"/>
        <v>0</v>
      </c>
    </row>
    <row r="276" spans="11:13" x14ac:dyDescent="0.3">
      <c r="K276" s="198">
        <f>'DANNO AGGREGATO'!D277</f>
        <v>99005.590545061757</v>
      </c>
      <c r="L276" s="15">
        <f t="shared" si="8"/>
        <v>99005.590545061757</v>
      </c>
      <c r="M276" s="15">
        <f t="shared" si="9"/>
        <v>0</v>
      </c>
    </row>
    <row r="277" spans="11:13" x14ac:dyDescent="0.3">
      <c r="K277" s="198">
        <f>'DANNO AGGREGATO'!D278</f>
        <v>90783.307743344441</v>
      </c>
      <c r="L277" s="15">
        <f t="shared" si="8"/>
        <v>90783.307743344441</v>
      </c>
      <c r="M277" s="15">
        <f t="shared" si="9"/>
        <v>0</v>
      </c>
    </row>
    <row r="278" spans="11:13" x14ac:dyDescent="0.3">
      <c r="K278" s="198">
        <f>'DANNO AGGREGATO'!D279</f>
        <v>93777.453602073394</v>
      </c>
      <c r="L278" s="15">
        <f t="shared" si="8"/>
        <v>93777.453602073394</v>
      </c>
      <c r="M278" s="15">
        <f t="shared" si="9"/>
        <v>0</v>
      </c>
    </row>
    <row r="279" spans="11:13" x14ac:dyDescent="0.3">
      <c r="K279" s="198">
        <f>'DANNO AGGREGATO'!D280</f>
        <v>105019.61328999986</v>
      </c>
      <c r="L279" s="15">
        <f t="shared" si="8"/>
        <v>105019.61328999986</v>
      </c>
      <c r="M279" s="15">
        <f t="shared" si="9"/>
        <v>0</v>
      </c>
    </row>
    <row r="280" spans="11:13" x14ac:dyDescent="0.3">
      <c r="K280" s="198">
        <f>'DANNO AGGREGATO'!D281</f>
        <v>115302.36430729777</v>
      </c>
      <c r="L280" s="15">
        <f t="shared" si="8"/>
        <v>105034.34882660338</v>
      </c>
      <c r="M280" s="15">
        <f t="shared" si="9"/>
        <v>10268.01548069439</v>
      </c>
    </row>
    <row r="281" spans="11:13" x14ac:dyDescent="0.3">
      <c r="K281" s="198">
        <f>'DANNO AGGREGATO'!D282</f>
        <v>91490.246631783462</v>
      </c>
      <c r="L281" s="15">
        <f t="shared" si="8"/>
        <v>91490.246631783462</v>
      </c>
      <c r="M281" s="15">
        <f t="shared" si="9"/>
        <v>0</v>
      </c>
    </row>
    <row r="282" spans="11:13" x14ac:dyDescent="0.3">
      <c r="K282" s="198">
        <f>'DANNO AGGREGATO'!D283</f>
        <v>57565.701953276453</v>
      </c>
      <c r="L282" s="15">
        <f t="shared" si="8"/>
        <v>57565.701953276453</v>
      </c>
      <c r="M282" s="15">
        <f t="shared" si="9"/>
        <v>0</v>
      </c>
    </row>
    <row r="283" spans="11:13" x14ac:dyDescent="0.3">
      <c r="K283" s="198">
        <f>'DANNO AGGREGATO'!D284</f>
        <v>88201.222042591937</v>
      </c>
      <c r="L283" s="15">
        <f t="shared" si="8"/>
        <v>88201.222042591937</v>
      </c>
      <c r="M283" s="15">
        <f t="shared" si="9"/>
        <v>0</v>
      </c>
    </row>
    <row r="284" spans="11:13" x14ac:dyDescent="0.3">
      <c r="K284" s="198">
        <f>'DANNO AGGREGATO'!D285</f>
        <v>88133.113438866538</v>
      </c>
      <c r="L284" s="15">
        <f t="shared" si="8"/>
        <v>88133.113438866538</v>
      </c>
      <c r="M284" s="15">
        <f t="shared" si="9"/>
        <v>0</v>
      </c>
    </row>
    <row r="285" spans="11:13" x14ac:dyDescent="0.3">
      <c r="K285" s="198">
        <f>'DANNO AGGREGATO'!D286</f>
        <v>95535.707062951915</v>
      </c>
      <c r="L285" s="15">
        <f t="shared" si="8"/>
        <v>95535.707062951915</v>
      </c>
      <c r="M285" s="15">
        <f t="shared" si="9"/>
        <v>0</v>
      </c>
    </row>
    <row r="286" spans="11:13" x14ac:dyDescent="0.3">
      <c r="K286" s="198">
        <f>'DANNO AGGREGATO'!D287</f>
        <v>124851.56646012756</v>
      </c>
      <c r="L286" s="15">
        <f t="shared" si="8"/>
        <v>105034.34882660338</v>
      </c>
      <c r="M286" s="15">
        <f t="shared" si="9"/>
        <v>19817.217633524182</v>
      </c>
    </row>
    <row r="287" spans="11:13" x14ac:dyDescent="0.3">
      <c r="K287" s="198">
        <f>'DANNO AGGREGATO'!D288</f>
        <v>97191.444780141523</v>
      </c>
      <c r="L287" s="15">
        <f t="shared" si="8"/>
        <v>97191.444780141523</v>
      </c>
      <c r="M287" s="15">
        <f t="shared" si="9"/>
        <v>0</v>
      </c>
    </row>
    <row r="288" spans="11:13" x14ac:dyDescent="0.3">
      <c r="K288" s="198">
        <f>'DANNO AGGREGATO'!D289</f>
        <v>120234.69037004911</v>
      </c>
      <c r="L288" s="15">
        <f t="shared" si="8"/>
        <v>105034.34882660338</v>
      </c>
      <c r="M288" s="15">
        <f t="shared" si="9"/>
        <v>15200.341543445727</v>
      </c>
    </row>
    <row r="289" spans="11:13" x14ac:dyDescent="0.3">
      <c r="K289" s="198">
        <f>'DANNO AGGREGATO'!D290</f>
        <v>73790.235754949434</v>
      </c>
      <c r="L289" s="15">
        <f t="shared" si="8"/>
        <v>73790.235754949434</v>
      </c>
      <c r="M289" s="15">
        <f t="shared" si="9"/>
        <v>0</v>
      </c>
    </row>
    <row r="290" spans="11:13" x14ac:dyDescent="0.3">
      <c r="K290" s="198">
        <f>'DANNO AGGREGATO'!D291</f>
        <v>90899.473321365818</v>
      </c>
      <c r="L290" s="15">
        <f t="shared" si="8"/>
        <v>90899.473321365818</v>
      </c>
      <c r="M290" s="15">
        <f t="shared" si="9"/>
        <v>0</v>
      </c>
    </row>
    <row r="291" spans="11:13" x14ac:dyDescent="0.3">
      <c r="K291" s="198">
        <f>'DANNO AGGREGATO'!D292</f>
        <v>97781.309034533755</v>
      </c>
      <c r="L291" s="15">
        <f t="shared" si="8"/>
        <v>97781.309034533755</v>
      </c>
      <c r="M291" s="15">
        <f t="shared" si="9"/>
        <v>0</v>
      </c>
    </row>
    <row r="292" spans="11:13" x14ac:dyDescent="0.3">
      <c r="K292" s="198">
        <f>'DANNO AGGREGATO'!D293</f>
        <v>106625.42795404539</v>
      </c>
      <c r="L292" s="15">
        <f t="shared" si="8"/>
        <v>105034.34882660338</v>
      </c>
      <c r="M292" s="15">
        <f t="shared" si="9"/>
        <v>1591.0791274420044</v>
      </c>
    </row>
    <row r="293" spans="11:13" x14ac:dyDescent="0.3">
      <c r="K293" s="198">
        <f>'DANNO AGGREGATO'!D294</f>
        <v>98917.624546538747</v>
      </c>
      <c r="L293" s="15">
        <f t="shared" si="8"/>
        <v>98917.624546538747</v>
      </c>
      <c r="M293" s="15">
        <f t="shared" si="9"/>
        <v>0</v>
      </c>
    </row>
    <row r="294" spans="11:13" x14ac:dyDescent="0.3">
      <c r="K294" s="198">
        <f>'DANNO AGGREGATO'!D295</f>
        <v>108599.43811006837</v>
      </c>
      <c r="L294" s="15">
        <f t="shared" si="8"/>
        <v>105034.34882660338</v>
      </c>
      <c r="M294" s="15">
        <f t="shared" si="9"/>
        <v>3565.0892834649858</v>
      </c>
    </row>
    <row r="295" spans="11:13" x14ac:dyDescent="0.3">
      <c r="K295" s="198">
        <f>'DANNO AGGREGATO'!D296</f>
        <v>91245.777481226702</v>
      </c>
      <c r="L295" s="15">
        <f t="shared" si="8"/>
        <v>91245.777481226702</v>
      </c>
      <c r="M295" s="15">
        <f t="shared" si="9"/>
        <v>0</v>
      </c>
    </row>
    <row r="296" spans="11:13" x14ac:dyDescent="0.3">
      <c r="K296" s="198">
        <f>'DANNO AGGREGATO'!D297</f>
        <v>67062.346004832201</v>
      </c>
      <c r="L296" s="15">
        <f t="shared" si="8"/>
        <v>67062.346004832201</v>
      </c>
      <c r="M296" s="15">
        <f t="shared" si="9"/>
        <v>0</v>
      </c>
    </row>
    <row r="297" spans="11:13" x14ac:dyDescent="0.3">
      <c r="K297" s="198">
        <f>'DANNO AGGREGATO'!D298</f>
        <v>125022.72617994361</v>
      </c>
      <c r="L297" s="15">
        <f t="shared" si="8"/>
        <v>105034.34882660338</v>
      </c>
      <c r="M297" s="15">
        <f t="shared" si="9"/>
        <v>19988.377353340227</v>
      </c>
    </row>
    <row r="298" spans="11:13" x14ac:dyDescent="0.3">
      <c r="K298" s="198">
        <f>'DANNO AGGREGATO'!D299</f>
        <v>97158.80497088049</v>
      </c>
      <c r="L298" s="15">
        <f t="shared" si="8"/>
        <v>97158.80497088049</v>
      </c>
      <c r="M298" s="15">
        <f t="shared" si="9"/>
        <v>0</v>
      </c>
    </row>
    <row r="299" spans="11:13" x14ac:dyDescent="0.3">
      <c r="K299" s="198">
        <f>'DANNO AGGREGATO'!D300</f>
        <v>92405.097925100097</v>
      </c>
      <c r="L299" s="15">
        <f t="shared" si="8"/>
        <v>92405.097925100097</v>
      </c>
      <c r="M299" s="15">
        <f t="shared" si="9"/>
        <v>0</v>
      </c>
    </row>
    <row r="300" spans="11:13" x14ac:dyDescent="0.3">
      <c r="K300" s="198">
        <f>'DANNO AGGREGATO'!D301</f>
        <v>103590.57566333891</v>
      </c>
      <c r="L300" s="15">
        <f t="shared" si="8"/>
        <v>103590.57566333891</v>
      </c>
      <c r="M300" s="15">
        <f t="shared" si="9"/>
        <v>0</v>
      </c>
    </row>
    <row r="301" spans="11:13" x14ac:dyDescent="0.3">
      <c r="K301" s="198">
        <f>'DANNO AGGREGATO'!D302</f>
        <v>91270.310039924545</v>
      </c>
      <c r="L301" s="15">
        <f t="shared" si="8"/>
        <v>91270.310039924545</v>
      </c>
      <c r="M301" s="15">
        <f t="shared" si="9"/>
        <v>0</v>
      </c>
    </row>
    <row r="302" spans="11:13" x14ac:dyDescent="0.3">
      <c r="K302" s="198">
        <f>'DANNO AGGREGATO'!D303</f>
        <v>103285.91708471475</v>
      </c>
      <c r="L302" s="15">
        <f t="shared" si="8"/>
        <v>103285.91708471475</v>
      </c>
      <c r="M302" s="15">
        <f t="shared" si="9"/>
        <v>0</v>
      </c>
    </row>
    <row r="303" spans="11:13" x14ac:dyDescent="0.3">
      <c r="K303" s="198">
        <f>'DANNO AGGREGATO'!D304</f>
        <v>107577.66286057331</v>
      </c>
      <c r="L303" s="15">
        <f t="shared" si="8"/>
        <v>105034.34882660338</v>
      </c>
      <c r="M303" s="15">
        <f t="shared" si="9"/>
        <v>2543.3140339699312</v>
      </c>
    </row>
    <row r="304" spans="11:13" x14ac:dyDescent="0.3">
      <c r="K304" s="198">
        <f>'DANNO AGGREGATO'!D305</f>
        <v>80453.923280918942</v>
      </c>
      <c r="L304" s="15">
        <f t="shared" si="8"/>
        <v>80453.923280918942</v>
      </c>
      <c r="M304" s="15">
        <f t="shared" si="9"/>
        <v>0</v>
      </c>
    </row>
    <row r="305" spans="11:13" x14ac:dyDescent="0.3">
      <c r="K305" s="198">
        <f>'DANNO AGGREGATO'!D306</f>
        <v>80571.651312457034</v>
      </c>
      <c r="L305" s="15">
        <f t="shared" si="8"/>
        <v>80571.651312457034</v>
      </c>
      <c r="M305" s="15">
        <f t="shared" si="9"/>
        <v>0</v>
      </c>
    </row>
    <row r="306" spans="11:13" x14ac:dyDescent="0.3">
      <c r="K306" s="198">
        <f>'DANNO AGGREGATO'!D307</f>
        <v>101601.61081553115</v>
      </c>
      <c r="L306" s="15">
        <f t="shared" si="8"/>
        <v>101601.61081553115</v>
      </c>
      <c r="M306" s="15">
        <f t="shared" si="9"/>
        <v>0</v>
      </c>
    </row>
    <row r="307" spans="11:13" x14ac:dyDescent="0.3">
      <c r="K307" s="198">
        <f>'DANNO AGGREGATO'!D308</f>
        <v>133136.23415174978</v>
      </c>
      <c r="L307" s="15">
        <f t="shared" si="8"/>
        <v>105034.34882660338</v>
      </c>
      <c r="M307" s="15">
        <f t="shared" si="9"/>
        <v>28101.885325146402</v>
      </c>
    </row>
    <row r="308" spans="11:13" x14ac:dyDescent="0.3">
      <c r="K308" s="198">
        <f>'DANNO AGGREGATO'!D309</f>
        <v>62980.045291160866</v>
      </c>
      <c r="L308" s="15">
        <f t="shared" si="8"/>
        <v>62980.045291160866</v>
      </c>
      <c r="M308" s="15">
        <f t="shared" si="9"/>
        <v>0</v>
      </c>
    </row>
    <row r="309" spans="11:13" x14ac:dyDescent="0.3">
      <c r="K309" s="198">
        <f>'DANNO AGGREGATO'!D310</f>
        <v>100003.34311593298</v>
      </c>
      <c r="L309" s="15">
        <f t="shared" si="8"/>
        <v>100003.34311593298</v>
      </c>
      <c r="M309" s="15">
        <f t="shared" si="9"/>
        <v>0</v>
      </c>
    </row>
    <row r="310" spans="11:13" x14ac:dyDescent="0.3">
      <c r="K310" s="198">
        <f>'DANNO AGGREGATO'!D311</f>
        <v>116402.76963517029</v>
      </c>
      <c r="L310" s="15">
        <f t="shared" si="8"/>
        <v>105034.34882660338</v>
      </c>
      <c r="M310" s="15">
        <f t="shared" si="9"/>
        <v>11368.420808566909</v>
      </c>
    </row>
    <row r="311" spans="11:13" x14ac:dyDescent="0.3">
      <c r="K311" s="198">
        <f>'DANNO AGGREGATO'!D312</f>
        <v>84296.191690495398</v>
      </c>
      <c r="L311" s="15">
        <f t="shared" si="8"/>
        <v>84296.191690495398</v>
      </c>
      <c r="M311" s="15">
        <f t="shared" si="9"/>
        <v>0</v>
      </c>
    </row>
    <row r="312" spans="11:13" x14ac:dyDescent="0.3">
      <c r="K312" s="198">
        <f>'DANNO AGGREGATO'!D313</f>
        <v>93082.026328171341</v>
      </c>
      <c r="L312" s="15">
        <f t="shared" si="8"/>
        <v>93082.026328171341</v>
      </c>
      <c r="M312" s="15">
        <f t="shared" si="9"/>
        <v>0</v>
      </c>
    </row>
    <row r="313" spans="11:13" x14ac:dyDescent="0.3">
      <c r="K313" s="198">
        <f>'DANNO AGGREGATO'!D314</f>
        <v>120838.53975680123</v>
      </c>
      <c r="L313" s="15">
        <f t="shared" si="8"/>
        <v>105034.34882660338</v>
      </c>
      <c r="M313" s="15">
        <f t="shared" si="9"/>
        <v>15804.190930197845</v>
      </c>
    </row>
    <row r="314" spans="11:13" x14ac:dyDescent="0.3">
      <c r="K314" s="198">
        <f>'DANNO AGGREGATO'!D315</f>
        <v>95745.140588009643</v>
      </c>
      <c r="L314" s="15">
        <f t="shared" si="8"/>
        <v>95745.140588009643</v>
      </c>
      <c r="M314" s="15">
        <f t="shared" si="9"/>
        <v>0</v>
      </c>
    </row>
    <row r="315" spans="11:13" x14ac:dyDescent="0.3">
      <c r="K315" s="198">
        <f>'DANNO AGGREGATO'!D316</f>
        <v>91416.602988942774</v>
      </c>
      <c r="L315" s="15">
        <f t="shared" si="8"/>
        <v>91416.602988942774</v>
      </c>
      <c r="M315" s="15">
        <f t="shared" si="9"/>
        <v>0</v>
      </c>
    </row>
    <row r="316" spans="11:13" x14ac:dyDescent="0.3">
      <c r="K316" s="198">
        <f>'DANNO AGGREGATO'!D317</f>
        <v>77440.98113244983</v>
      </c>
      <c r="L316" s="15">
        <f t="shared" si="8"/>
        <v>77440.98113244983</v>
      </c>
      <c r="M316" s="15">
        <f t="shared" si="9"/>
        <v>0</v>
      </c>
    </row>
    <row r="317" spans="11:13" x14ac:dyDescent="0.3">
      <c r="K317" s="198">
        <f>'DANNO AGGREGATO'!D318</f>
        <v>84443.655354334056</v>
      </c>
      <c r="L317" s="15">
        <f t="shared" si="8"/>
        <v>84443.655354334056</v>
      </c>
      <c r="M317" s="15">
        <f t="shared" si="9"/>
        <v>0</v>
      </c>
    </row>
    <row r="318" spans="11:13" x14ac:dyDescent="0.3">
      <c r="K318" s="198">
        <f>'DANNO AGGREGATO'!D319</f>
        <v>108668.78702011911</v>
      </c>
      <c r="L318" s="15">
        <f t="shared" si="8"/>
        <v>105034.34882660338</v>
      </c>
      <c r="M318" s="15">
        <f t="shared" si="9"/>
        <v>3634.4381935157289</v>
      </c>
    </row>
    <row r="319" spans="11:13" x14ac:dyDescent="0.3">
      <c r="K319" s="198">
        <f>'DANNO AGGREGATO'!D320</f>
        <v>87500.735091281429</v>
      </c>
      <c r="L319" s="15">
        <f t="shared" si="8"/>
        <v>87500.735091281429</v>
      </c>
      <c r="M319" s="15">
        <f t="shared" si="9"/>
        <v>0</v>
      </c>
    </row>
    <row r="320" spans="11:13" x14ac:dyDescent="0.3">
      <c r="K320" s="198">
        <f>'DANNO AGGREGATO'!D321</f>
        <v>111295.05886626556</v>
      </c>
      <c r="L320" s="15">
        <f t="shared" si="8"/>
        <v>105034.34882660338</v>
      </c>
      <c r="M320" s="15">
        <f t="shared" si="9"/>
        <v>6260.7100396621827</v>
      </c>
    </row>
    <row r="321" spans="11:13" x14ac:dyDescent="0.3">
      <c r="K321" s="198">
        <f>'DANNO AGGREGATO'!D322</f>
        <v>103757.42897698827</v>
      </c>
      <c r="L321" s="15">
        <f t="shared" si="8"/>
        <v>103757.42897698827</v>
      </c>
      <c r="M321" s="15">
        <f t="shared" si="9"/>
        <v>0</v>
      </c>
    </row>
    <row r="322" spans="11:13" x14ac:dyDescent="0.3">
      <c r="K322" s="198">
        <f>'DANNO AGGREGATO'!D323</f>
        <v>108503.70756919768</v>
      </c>
      <c r="L322" s="15">
        <f t="shared" si="8"/>
        <v>105034.34882660338</v>
      </c>
      <c r="M322" s="15">
        <f t="shared" si="9"/>
        <v>3469.3587425942969</v>
      </c>
    </row>
    <row r="323" spans="11:13" x14ac:dyDescent="0.3">
      <c r="K323" s="198">
        <f>'DANNO AGGREGATO'!D324</f>
        <v>93199.184053382065</v>
      </c>
      <c r="L323" s="15">
        <f t="shared" ref="L323:L386" si="10">IF(K323&lt;=$B$9,K323,$B$9)</f>
        <v>93199.184053382065</v>
      </c>
      <c r="M323" s="15">
        <f t="shared" ref="M323:M386" si="11">K323-L323</f>
        <v>0</v>
      </c>
    </row>
    <row r="324" spans="11:13" x14ac:dyDescent="0.3">
      <c r="K324" s="198">
        <f>'DANNO AGGREGATO'!D325</f>
        <v>74179.632768564479</v>
      </c>
      <c r="L324" s="15">
        <f t="shared" si="10"/>
        <v>74179.632768564479</v>
      </c>
      <c r="M324" s="15">
        <f t="shared" si="11"/>
        <v>0</v>
      </c>
    </row>
    <row r="325" spans="11:13" x14ac:dyDescent="0.3">
      <c r="K325" s="198">
        <f>'DANNO AGGREGATO'!D326</f>
        <v>101395.79842365054</v>
      </c>
      <c r="L325" s="15">
        <f t="shared" si="10"/>
        <v>101395.79842365054</v>
      </c>
      <c r="M325" s="15">
        <f t="shared" si="11"/>
        <v>0</v>
      </c>
    </row>
    <row r="326" spans="11:13" x14ac:dyDescent="0.3">
      <c r="K326" s="198">
        <f>'DANNO AGGREGATO'!D327</f>
        <v>130278.95619783626</v>
      </c>
      <c r="L326" s="15">
        <f t="shared" si="10"/>
        <v>105034.34882660338</v>
      </c>
      <c r="M326" s="15">
        <f t="shared" si="11"/>
        <v>25244.60737123288</v>
      </c>
    </row>
    <row r="327" spans="11:13" x14ac:dyDescent="0.3">
      <c r="K327" s="198">
        <f>'DANNO AGGREGATO'!D328</f>
        <v>81130.19502428644</v>
      </c>
      <c r="L327" s="15">
        <f t="shared" si="10"/>
        <v>81130.19502428644</v>
      </c>
      <c r="M327" s="15">
        <f t="shared" si="11"/>
        <v>0</v>
      </c>
    </row>
    <row r="328" spans="11:13" x14ac:dyDescent="0.3">
      <c r="K328" s="198">
        <f>'DANNO AGGREGATO'!D329</f>
        <v>110119.86408279126</v>
      </c>
      <c r="L328" s="15">
        <f t="shared" si="10"/>
        <v>105034.34882660338</v>
      </c>
      <c r="M328" s="15">
        <f t="shared" si="11"/>
        <v>5085.5152561878785</v>
      </c>
    </row>
    <row r="329" spans="11:13" x14ac:dyDescent="0.3">
      <c r="K329" s="198">
        <f>'DANNO AGGREGATO'!D330</f>
        <v>78317.71917684174</v>
      </c>
      <c r="L329" s="15">
        <f t="shared" si="10"/>
        <v>78317.71917684174</v>
      </c>
      <c r="M329" s="15">
        <f t="shared" si="11"/>
        <v>0</v>
      </c>
    </row>
    <row r="330" spans="11:13" x14ac:dyDescent="0.3">
      <c r="K330" s="198">
        <f>'DANNO AGGREGATO'!D331</f>
        <v>90435.620266148428</v>
      </c>
      <c r="L330" s="15">
        <f t="shared" si="10"/>
        <v>90435.620266148428</v>
      </c>
      <c r="M330" s="15">
        <f t="shared" si="11"/>
        <v>0</v>
      </c>
    </row>
    <row r="331" spans="11:13" x14ac:dyDescent="0.3">
      <c r="K331" s="198">
        <f>'DANNO AGGREGATO'!D332</f>
        <v>86335.937529839503</v>
      </c>
      <c r="L331" s="15">
        <f t="shared" si="10"/>
        <v>86335.937529839503</v>
      </c>
      <c r="M331" s="15">
        <f t="shared" si="11"/>
        <v>0</v>
      </c>
    </row>
    <row r="332" spans="11:13" x14ac:dyDescent="0.3">
      <c r="K332" s="198">
        <f>'DANNO AGGREGATO'!D333</f>
        <v>114899.61636096677</v>
      </c>
      <c r="L332" s="15">
        <f t="shared" si="10"/>
        <v>105034.34882660338</v>
      </c>
      <c r="M332" s="15">
        <f t="shared" si="11"/>
        <v>9865.2675343633891</v>
      </c>
    </row>
    <row r="333" spans="11:13" x14ac:dyDescent="0.3">
      <c r="K333" s="198">
        <f>'DANNO AGGREGATO'!D334</f>
        <v>87140.940510795932</v>
      </c>
      <c r="L333" s="15">
        <f t="shared" si="10"/>
        <v>87140.940510795932</v>
      </c>
      <c r="M333" s="15">
        <f t="shared" si="11"/>
        <v>0</v>
      </c>
    </row>
    <row r="334" spans="11:13" x14ac:dyDescent="0.3">
      <c r="K334" s="198">
        <f>'DANNO AGGREGATO'!D335</f>
        <v>102676.2191608445</v>
      </c>
      <c r="L334" s="15">
        <f t="shared" si="10"/>
        <v>102676.2191608445</v>
      </c>
      <c r="M334" s="15">
        <f t="shared" si="11"/>
        <v>0</v>
      </c>
    </row>
    <row r="335" spans="11:13" x14ac:dyDescent="0.3">
      <c r="K335" s="198">
        <f>'DANNO AGGREGATO'!D336</f>
        <v>89519.588150435753</v>
      </c>
      <c r="L335" s="15">
        <f t="shared" si="10"/>
        <v>89519.588150435753</v>
      </c>
      <c r="M335" s="15">
        <f t="shared" si="11"/>
        <v>0</v>
      </c>
    </row>
    <row r="336" spans="11:13" x14ac:dyDescent="0.3">
      <c r="K336" s="198">
        <f>'DANNO AGGREGATO'!D337</f>
        <v>71399.872989641066</v>
      </c>
      <c r="L336" s="15">
        <f t="shared" si="10"/>
        <v>71399.872989641066</v>
      </c>
      <c r="M336" s="15">
        <f t="shared" si="11"/>
        <v>0</v>
      </c>
    </row>
    <row r="337" spans="11:13" x14ac:dyDescent="0.3">
      <c r="K337" s="198">
        <f>'DANNO AGGREGATO'!D338</f>
        <v>107997.67047983638</v>
      </c>
      <c r="L337" s="15">
        <f t="shared" si="10"/>
        <v>105034.34882660338</v>
      </c>
      <c r="M337" s="15">
        <f t="shared" si="11"/>
        <v>2963.3216532329971</v>
      </c>
    </row>
    <row r="338" spans="11:13" x14ac:dyDescent="0.3">
      <c r="K338" s="198">
        <f>'DANNO AGGREGATO'!D339</f>
        <v>91027.360443914804</v>
      </c>
      <c r="L338" s="15">
        <f t="shared" si="10"/>
        <v>91027.360443914804</v>
      </c>
      <c r="M338" s="15">
        <f t="shared" si="11"/>
        <v>0</v>
      </c>
    </row>
    <row r="339" spans="11:13" x14ac:dyDescent="0.3">
      <c r="K339" s="198">
        <f>'DANNO AGGREGATO'!D340</f>
        <v>94418.049803535003</v>
      </c>
      <c r="L339" s="15">
        <f t="shared" si="10"/>
        <v>94418.049803535003</v>
      </c>
      <c r="M339" s="15">
        <f t="shared" si="11"/>
        <v>0</v>
      </c>
    </row>
    <row r="340" spans="11:13" x14ac:dyDescent="0.3">
      <c r="K340" s="198">
        <f>'DANNO AGGREGATO'!D341</f>
        <v>114171.28834451585</v>
      </c>
      <c r="L340" s="15">
        <f t="shared" si="10"/>
        <v>105034.34882660338</v>
      </c>
      <c r="M340" s="15">
        <f t="shared" si="11"/>
        <v>9136.9395179124695</v>
      </c>
    </row>
    <row r="341" spans="11:13" x14ac:dyDescent="0.3">
      <c r="K341" s="198">
        <f>'DANNO AGGREGATO'!D342</f>
        <v>91826.322261847425</v>
      </c>
      <c r="L341" s="15">
        <f t="shared" si="10"/>
        <v>91826.322261847425</v>
      </c>
      <c r="M341" s="15">
        <f t="shared" si="11"/>
        <v>0</v>
      </c>
    </row>
    <row r="342" spans="11:13" x14ac:dyDescent="0.3">
      <c r="K342" s="198">
        <f>'DANNO AGGREGATO'!D343</f>
        <v>77309.737350412848</v>
      </c>
      <c r="L342" s="15">
        <f t="shared" si="10"/>
        <v>77309.737350412848</v>
      </c>
      <c r="M342" s="15">
        <f t="shared" si="11"/>
        <v>0</v>
      </c>
    </row>
    <row r="343" spans="11:13" x14ac:dyDescent="0.3">
      <c r="K343" s="198">
        <f>'DANNO AGGREGATO'!D344</f>
        <v>94891.42437430982</v>
      </c>
      <c r="L343" s="15">
        <f t="shared" si="10"/>
        <v>94891.42437430982</v>
      </c>
      <c r="M343" s="15">
        <f t="shared" si="11"/>
        <v>0</v>
      </c>
    </row>
    <row r="344" spans="11:13" x14ac:dyDescent="0.3">
      <c r="K344" s="198">
        <f>'DANNO AGGREGATO'!D345</f>
        <v>75787.993863631025</v>
      </c>
      <c r="L344" s="15">
        <f t="shared" si="10"/>
        <v>75787.993863631025</v>
      </c>
      <c r="M344" s="15">
        <f t="shared" si="11"/>
        <v>0</v>
      </c>
    </row>
    <row r="345" spans="11:13" x14ac:dyDescent="0.3">
      <c r="K345" s="198">
        <f>'DANNO AGGREGATO'!D346</f>
        <v>84887.902788615873</v>
      </c>
      <c r="L345" s="15">
        <f t="shared" si="10"/>
        <v>84887.902788615873</v>
      </c>
      <c r="M345" s="15">
        <f t="shared" si="11"/>
        <v>0</v>
      </c>
    </row>
    <row r="346" spans="11:13" x14ac:dyDescent="0.3">
      <c r="K346" s="198">
        <f>'DANNO AGGREGATO'!D347</f>
        <v>108777.87741905704</v>
      </c>
      <c r="L346" s="15">
        <f t="shared" si="10"/>
        <v>105034.34882660338</v>
      </c>
      <c r="M346" s="15">
        <f t="shared" si="11"/>
        <v>3743.5285924536583</v>
      </c>
    </row>
    <row r="347" spans="11:13" x14ac:dyDescent="0.3">
      <c r="K347" s="198">
        <f>'DANNO AGGREGATO'!D348</f>
        <v>99738.450903861143</v>
      </c>
      <c r="L347" s="15">
        <f t="shared" si="10"/>
        <v>99738.450903861143</v>
      </c>
      <c r="M347" s="15">
        <f t="shared" si="11"/>
        <v>0</v>
      </c>
    </row>
    <row r="348" spans="11:13" x14ac:dyDescent="0.3">
      <c r="K348" s="198">
        <f>'DANNO AGGREGATO'!D349</f>
        <v>90749.212791728583</v>
      </c>
      <c r="L348" s="15">
        <f t="shared" si="10"/>
        <v>90749.212791728583</v>
      </c>
      <c r="M348" s="15">
        <f t="shared" si="11"/>
        <v>0</v>
      </c>
    </row>
    <row r="349" spans="11:13" x14ac:dyDescent="0.3">
      <c r="K349" s="198">
        <f>'DANNO AGGREGATO'!D350</f>
        <v>93968.393637809684</v>
      </c>
      <c r="L349" s="15">
        <f t="shared" si="10"/>
        <v>93968.393637809684</v>
      </c>
      <c r="M349" s="15">
        <f t="shared" si="11"/>
        <v>0</v>
      </c>
    </row>
    <row r="350" spans="11:13" x14ac:dyDescent="0.3">
      <c r="K350" s="198">
        <f>'DANNO AGGREGATO'!D351</f>
        <v>90335.151516746191</v>
      </c>
      <c r="L350" s="15">
        <f t="shared" si="10"/>
        <v>90335.151516746191</v>
      </c>
      <c r="M350" s="15">
        <f t="shared" si="11"/>
        <v>0</v>
      </c>
    </row>
    <row r="351" spans="11:13" x14ac:dyDescent="0.3">
      <c r="K351" s="198">
        <f>'DANNO AGGREGATO'!D352</f>
        <v>108516.01630992327</v>
      </c>
      <c r="L351" s="15">
        <f t="shared" si="10"/>
        <v>105034.34882660338</v>
      </c>
      <c r="M351" s="15">
        <f t="shared" si="11"/>
        <v>3481.6674833198922</v>
      </c>
    </row>
    <row r="352" spans="11:13" x14ac:dyDescent="0.3">
      <c r="K352" s="198">
        <f>'DANNO AGGREGATO'!D353</f>
        <v>63309.83692670997</v>
      </c>
      <c r="L352" s="15">
        <f t="shared" si="10"/>
        <v>63309.83692670997</v>
      </c>
      <c r="M352" s="15">
        <f t="shared" si="11"/>
        <v>0</v>
      </c>
    </row>
    <row r="353" spans="11:13" x14ac:dyDescent="0.3">
      <c r="K353" s="198">
        <f>'DANNO AGGREGATO'!D354</f>
        <v>103931.36537141538</v>
      </c>
      <c r="L353" s="15">
        <f t="shared" si="10"/>
        <v>103931.36537141538</v>
      </c>
      <c r="M353" s="15">
        <f t="shared" si="11"/>
        <v>0</v>
      </c>
    </row>
    <row r="354" spans="11:13" x14ac:dyDescent="0.3">
      <c r="K354" s="198">
        <f>'DANNO AGGREGATO'!D355</f>
        <v>96652.548283595577</v>
      </c>
      <c r="L354" s="15">
        <f t="shared" si="10"/>
        <v>96652.548283595577</v>
      </c>
      <c r="M354" s="15">
        <f t="shared" si="11"/>
        <v>0</v>
      </c>
    </row>
    <row r="355" spans="11:13" x14ac:dyDescent="0.3">
      <c r="K355" s="198">
        <f>'DANNO AGGREGATO'!D356</f>
        <v>90193.229894056116</v>
      </c>
      <c r="L355" s="15">
        <f t="shared" si="10"/>
        <v>90193.229894056116</v>
      </c>
      <c r="M355" s="15">
        <f t="shared" si="11"/>
        <v>0</v>
      </c>
    </row>
    <row r="356" spans="11:13" x14ac:dyDescent="0.3">
      <c r="K356" s="198">
        <f>'DANNO AGGREGATO'!D357</f>
        <v>103093.13147437216</v>
      </c>
      <c r="L356" s="15">
        <f t="shared" si="10"/>
        <v>103093.13147437216</v>
      </c>
      <c r="M356" s="15">
        <f t="shared" si="11"/>
        <v>0</v>
      </c>
    </row>
    <row r="357" spans="11:13" x14ac:dyDescent="0.3">
      <c r="K357" s="198">
        <f>'DANNO AGGREGATO'!D358</f>
        <v>86300.883992858595</v>
      </c>
      <c r="L357" s="15">
        <f t="shared" si="10"/>
        <v>86300.883992858595</v>
      </c>
      <c r="M357" s="15">
        <f t="shared" si="11"/>
        <v>0</v>
      </c>
    </row>
    <row r="358" spans="11:13" x14ac:dyDescent="0.3">
      <c r="K358" s="198">
        <f>'DANNO AGGREGATO'!D359</f>
        <v>77683.201648725531</v>
      </c>
      <c r="L358" s="15">
        <f t="shared" si="10"/>
        <v>77683.201648725531</v>
      </c>
      <c r="M358" s="15">
        <f t="shared" si="11"/>
        <v>0</v>
      </c>
    </row>
    <row r="359" spans="11:13" x14ac:dyDescent="0.3">
      <c r="K359" s="198">
        <f>'DANNO AGGREGATO'!D360</f>
        <v>92937.530652226749</v>
      </c>
      <c r="L359" s="15">
        <f t="shared" si="10"/>
        <v>92937.530652226749</v>
      </c>
      <c r="M359" s="15">
        <f t="shared" si="11"/>
        <v>0</v>
      </c>
    </row>
    <row r="360" spans="11:13" x14ac:dyDescent="0.3">
      <c r="K360" s="198">
        <f>'DANNO AGGREGATO'!D361</f>
        <v>81939.892739065486</v>
      </c>
      <c r="L360" s="15">
        <f t="shared" si="10"/>
        <v>81939.892739065486</v>
      </c>
      <c r="M360" s="15">
        <f t="shared" si="11"/>
        <v>0</v>
      </c>
    </row>
    <row r="361" spans="11:13" x14ac:dyDescent="0.3">
      <c r="K361" s="198">
        <f>'DANNO AGGREGATO'!D362</f>
        <v>98086.057908897332</v>
      </c>
      <c r="L361" s="15">
        <f t="shared" si="10"/>
        <v>98086.057908897332</v>
      </c>
      <c r="M361" s="15">
        <f t="shared" si="11"/>
        <v>0</v>
      </c>
    </row>
    <row r="362" spans="11:13" x14ac:dyDescent="0.3">
      <c r="K362" s="198">
        <f>'DANNO AGGREGATO'!D363</f>
        <v>75494.263818384701</v>
      </c>
      <c r="L362" s="15">
        <f t="shared" si="10"/>
        <v>75494.263818384701</v>
      </c>
      <c r="M362" s="15">
        <f t="shared" si="11"/>
        <v>0</v>
      </c>
    </row>
    <row r="363" spans="11:13" x14ac:dyDescent="0.3">
      <c r="K363" s="198">
        <f>'DANNO AGGREGATO'!D364</f>
        <v>93332.071315756169</v>
      </c>
      <c r="L363" s="15">
        <f t="shared" si="10"/>
        <v>93332.071315756169</v>
      </c>
      <c r="M363" s="15">
        <f t="shared" si="11"/>
        <v>0</v>
      </c>
    </row>
    <row r="364" spans="11:13" x14ac:dyDescent="0.3">
      <c r="K364" s="198">
        <f>'DANNO AGGREGATO'!D365</f>
        <v>100510.71592937125</v>
      </c>
      <c r="L364" s="15">
        <f t="shared" si="10"/>
        <v>100510.71592937125</v>
      </c>
      <c r="M364" s="15">
        <f t="shared" si="11"/>
        <v>0</v>
      </c>
    </row>
    <row r="365" spans="11:13" x14ac:dyDescent="0.3">
      <c r="K365" s="198">
        <f>'DANNO AGGREGATO'!D366</f>
        <v>77336.38522224575</v>
      </c>
      <c r="L365" s="15">
        <f t="shared" si="10"/>
        <v>77336.38522224575</v>
      </c>
      <c r="M365" s="15">
        <f t="shared" si="11"/>
        <v>0</v>
      </c>
    </row>
    <row r="366" spans="11:13" x14ac:dyDescent="0.3">
      <c r="K366" s="198">
        <f>'DANNO AGGREGATO'!D367</f>
        <v>83982.964579131949</v>
      </c>
      <c r="L366" s="15">
        <f t="shared" si="10"/>
        <v>83982.964579131949</v>
      </c>
      <c r="M366" s="15">
        <f t="shared" si="11"/>
        <v>0</v>
      </c>
    </row>
    <row r="367" spans="11:13" x14ac:dyDescent="0.3">
      <c r="K367" s="198">
        <f>'DANNO AGGREGATO'!D368</f>
        <v>119711.09138278585</v>
      </c>
      <c r="L367" s="15">
        <f t="shared" si="10"/>
        <v>105034.34882660338</v>
      </c>
      <c r="M367" s="15">
        <f t="shared" si="11"/>
        <v>14676.742556182464</v>
      </c>
    </row>
    <row r="368" spans="11:13" x14ac:dyDescent="0.3">
      <c r="K368" s="198">
        <f>'DANNO AGGREGATO'!D369</f>
        <v>84509.27062958786</v>
      </c>
      <c r="L368" s="15">
        <f t="shared" si="10"/>
        <v>84509.27062958786</v>
      </c>
      <c r="M368" s="15">
        <f t="shared" si="11"/>
        <v>0</v>
      </c>
    </row>
    <row r="369" spans="11:13" x14ac:dyDescent="0.3">
      <c r="K369" s="198">
        <f>'DANNO AGGREGATO'!D370</f>
        <v>89435.339271836521</v>
      </c>
      <c r="L369" s="15">
        <f t="shared" si="10"/>
        <v>89435.339271836521</v>
      </c>
      <c r="M369" s="15">
        <f t="shared" si="11"/>
        <v>0</v>
      </c>
    </row>
    <row r="370" spans="11:13" x14ac:dyDescent="0.3">
      <c r="K370" s="198">
        <f>'DANNO AGGREGATO'!D371</f>
        <v>88065.979846783477</v>
      </c>
      <c r="L370" s="15">
        <f t="shared" si="10"/>
        <v>88065.979846783477</v>
      </c>
      <c r="M370" s="15">
        <f t="shared" si="11"/>
        <v>0</v>
      </c>
    </row>
    <row r="371" spans="11:13" x14ac:dyDescent="0.3">
      <c r="K371" s="198">
        <f>'DANNO AGGREGATO'!D372</f>
        <v>103738.49012860197</v>
      </c>
      <c r="L371" s="15">
        <f t="shared" si="10"/>
        <v>103738.49012860197</v>
      </c>
      <c r="M371" s="15">
        <f t="shared" si="11"/>
        <v>0</v>
      </c>
    </row>
    <row r="372" spans="11:13" x14ac:dyDescent="0.3">
      <c r="K372" s="198">
        <f>'DANNO AGGREGATO'!D373</f>
        <v>71886.391831596658</v>
      </c>
      <c r="L372" s="15">
        <f t="shared" si="10"/>
        <v>71886.391831596658</v>
      </c>
      <c r="M372" s="15">
        <f t="shared" si="11"/>
        <v>0</v>
      </c>
    </row>
    <row r="373" spans="11:13" x14ac:dyDescent="0.3">
      <c r="K373" s="198">
        <f>'DANNO AGGREGATO'!D374</f>
        <v>89634.717448647338</v>
      </c>
      <c r="L373" s="15">
        <f t="shared" si="10"/>
        <v>89634.717448647338</v>
      </c>
      <c r="M373" s="15">
        <f t="shared" si="11"/>
        <v>0</v>
      </c>
    </row>
    <row r="374" spans="11:13" x14ac:dyDescent="0.3">
      <c r="K374" s="198">
        <f>'DANNO AGGREGATO'!D375</f>
        <v>96784.255854670017</v>
      </c>
      <c r="L374" s="15">
        <f t="shared" si="10"/>
        <v>96784.255854670017</v>
      </c>
      <c r="M374" s="15">
        <f t="shared" si="11"/>
        <v>0</v>
      </c>
    </row>
    <row r="375" spans="11:13" x14ac:dyDescent="0.3">
      <c r="K375" s="198">
        <f>'DANNO AGGREGATO'!D376</f>
        <v>106005.44479666399</v>
      </c>
      <c r="L375" s="15">
        <f t="shared" si="10"/>
        <v>105034.34882660338</v>
      </c>
      <c r="M375" s="15">
        <f t="shared" si="11"/>
        <v>971.09597006060358</v>
      </c>
    </row>
    <row r="376" spans="11:13" x14ac:dyDescent="0.3">
      <c r="K376" s="198">
        <f>'DANNO AGGREGATO'!D377</f>
        <v>72663.524668538565</v>
      </c>
      <c r="L376" s="15">
        <f t="shared" si="10"/>
        <v>72663.524668538565</v>
      </c>
      <c r="M376" s="15">
        <f t="shared" si="11"/>
        <v>0</v>
      </c>
    </row>
    <row r="377" spans="11:13" x14ac:dyDescent="0.3">
      <c r="K377" s="198">
        <f>'DANNO AGGREGATO'!D378</f>
        <v>88935.209708880066</v>
      </c>
      <c r="L377" s="15">
        <f t="shared" si="10"/>
        <v>88935.209708880066</v>
      </c>
      <c r="M377" s="15">
        <f t="shared" si="11"/>
        <v>0</v>
      </c>
    </row>
    <row r="378" spans="11:13" x14ac:dyDescent="0.3">
      <c r="K378" s="198">
        <f>'DANNO AGGREGATO'!D379</f>
        <v>85568.057015025624</v>
      </c>
      <c r="L378" s="15">
        <f t="shared" si="10"/>
        <v>85568.057015025624</v>
      </c>
      <c r="M378" s="15">
        <f t="shared" si="11"/>
        <v>0</v>
      </c>
    </row>
    <row r="379" spans="11:13" x14ac:dyDescent="0.3">
      <c r="K379" s="198">
        <f>'DANNO AGGREGATO'!D380</f>
        <v>105343.69057247437</v>
      </c>
      <c r="L379" s="15">
        <f t="shared" si="10"/>
        <v>105034.34882660338</v>
      </c>
      <c r="M379" s="15">
        <f t="shared" si="11"/>
        <v>309.34174587098823</v>
      </c>
    </row>
    <row r="380" spans="11:13" x14ac:dyDescent="0.3">
      <c r="K380" s="198">
        <f>'DANNO AGGREGATO'!D381</f>
        <v>76398.44094157267</v>
      </c>
      <c r="L380" s="15">
        <f t="shared" si="10"/>
        <v>76398.44094157267</v>
      </c>
      <c r="M380" s="15">
        <f t="shared" si="11"/>
        <v>0</v>
      </c>
    </row>
    <row r="381" spans="11:13" x14ac:dyDescent="0.3">
      <c r="K381" s="198">
        <f>'DANNO AGGREGATO'!D382</f>
        <v>71605.254964246065</v>
      </c>
      <c r="L381" s="15">
        <f t="shared" si="10"/>
        <v>71605.254964246065</v>
      </c>
      <c r="M381" s="15">
        <f t="shared" si="11"/>
        <v>0</v>
      </c>
    </row>
    <row r="382" spans="11:13" x14ac:dyDescent="0.3">
      <c r="K382" s="198">
        <f>'DANNO AGGREGATO'!D383</f>
        <v>64160.479865839407</v>
      </c>
      <c r="L382" s="15">
        <f t="shared" si="10"/>
        <v>64160.479865839407</v>
      </c>
      <c r="M382" s="15">
        <f t="shared" si="11"/>
        <v>0</v>
      </c>
    </row>
    <row r="383" spans="11:13" x14ac:dyDescent="0.3">
      <c r="K383" s="198">
        <f>'DANNO AGGREGATO'!D384</f>
        <v>87048.125847965741</v>
      </c>
      <c r="L383" s="15">
        <f t="shared" si="10"/>
        <v>87048.125847965741</v>
      </c>
      <c r="M383" s="15">
        <f t="shared" si="11"/>
        <v>0</v>
      </c>
    </row>
    <row r="384" spans="11:13" x14ac:dyDescent="0.3">
      <c r="K384" s="198">
        <f>'DANNO AGGREGATO'!D385</f>
        <v>81119.438515629721</v>
      </c>
      <c r="L384" s="15">
        <f t="shared" si="10"/>
        <v>81119.438515629721</v>
      </c>
      <c r="M384" s="15">
        <f t="shared" si="11"/>
        <v>0</v>
      </c>
    </row>
    <row r="385" spans="11:13" x14ac:dyDescent="0.3">
      <c r="K385" s="198">
        <f>'DANNO AGGREGATO'!D386</f>
        <v>71969.299647264648</v>
      </c>
      <c r="L385" s="15">
        <f t="shared" si="10"/>
        <v>71969.299647264648</v>
      </c>
      <c r="M385" s="15">
        <f t="shared" si="11"/>
        <v>0</v>
      </c>
    </row>
    <row r="386" spans="11:13" x14ac:dyDescent="0.3">
      <c r="K386" s="198">
        <f>'DANNO AGGREGATO'!D387</f>
        <v>96055.964075897355</v>
      </c>
      <c r="L386" s="15">
        <f t="shared" si="10"/>
        <v>96055.964075897355</v>
      </c>
      <c r="M386" s="15">
        <f t="shared" si="11"/>
        <v>0</v>
      </c>
    </row>
    <row r="387" spans="11:13" x14ac:dyDescent="0.3">
      <c r="K387" s="198">
        <f>'DANNO AGGREGATO'!D388</f>
        <v>121917.60277426378</v>
      </c>
      <c r="L387" s="15">
        <f t="shared" ref="L387:L450" si="12">IF(K387&lt;=$B$9,K387,$B$9)</f>
        <v>105034.34882660338</v>
      </c>
      <c r="M387" s="15">
        <f t="shared" ref="M387:M450" si="13">K387-L387</f>
        <v>16883.2539476604</v>
      </c>
    </row>
    <row r="388" spans="11:13" x14ac:dyDescent="0.3">
      <c r="K388" s="198">
        <f>'DANNO AGGREGATO'!D389</f>
        <v>95624.091742336066</v>
      </c>
      <c r="L388" s="15">
        <f t="shared" si="12"/>
        <v>95624.091742336066</v>
      </c>
      <c r="M388" s="15">
        <f t="shared" si="13"/>
        <v>0</v>
      </c>
    </row>
    <row r="389" spans="11:13" x14ac:dyDescent="0.3">
      <c r="K389" s="198">
        <f>'DANNO AGGREGATO'!D390</f>
        <v>89009.359148800373</v>
      </c>
      <c r="L389" s="15">
        <f t="shared" si="12"/>
        <v>89009.359148800373</v>
      </c>
      <c r="M389" s="15">
        <f t="shared" si="13"/>
        <v>0</v>
      </c>
    </row>
    <row r="390" spans="11:13" x14ac:dyDescent="0.3">
      <c r="K390" s="198">
        <f>'DANNO AGGREGATO'!D391</f>
        <v>108808.01109083314</v>
      </c>
      <c r="L390" s="15">
        <f t="shared" si="12"/>
        <v>105034.34882660338</v>
      </c>
      <c r="M390" s="15">
        <f t="shared" si="13"/>
        <v>3773.6622642297589</v>
      </c>
    </row>
    <row r="391" spans="11:13" x14ac:dyDescent="0.3">
      <c r="K391" s="198">
        <f>'DANNO AGGREGATO'!D392</f>
        <v>77187.444791212416</v>
      </c>
      <c r="L391" s="15">
        <f t="shared" si="12"/>
        <v>77187.444791212416</v>
      </c>
      <c r="M391" s="15">
        <f t="shared" si="13"/>
        <v>0</v>
      </c>
    </row>
    <row r="392" spans="11:13" x14ac:dyDescent="0.3">
      <c r="K392" s="198">
        <f>'DANNO AGGREGATO'!D393</f>
        <v>87831.235071393414</v>
      </c>
      <c r="L392" s="15">
        <f t="shared" si="12"/>
        <v>87831.235071393414</v>
      </c>
      <c r="M392" s="15">
        <f t="shared" si="13"/>
        <v>0</v>
      </c>
    </row>
    <row r="393" spans="11:13" x14ac:dyDescent="0.3">
      <c r="K393" s="198">
        <f>'DANNO AGGREGATO'!D394</f>
        <v>109156.61703708411</v>
      </c>
      <c r="L393" s="15">
        <f t="shared" si="12"/>
        <v>105034.34882660338</v>
      </c>
      <c r="M393" s="15">
        <f t="shared" si="13"/>
        <v>4122.2682104807318</v>
      </c>
    </row>
    <row r="394" spans="11:13" x14ac:dyDescent="0.3">
      <c r="K394" s="198">
        <f>'DANNO AGGREGATO'!D395</f>
        <v>95222.886262995366</v>
      </c>
      <c r="L394" s="15">
        <f t="shared" si="12"/>
        <v>95222.886262995366</v>
      </c>
      <c r="M394" s="15">
        <f t="shared" si="13"/>
        <v>0</v>
      </c>
    </row>
    <row r="395" spans="11:13" x14ac:dyDescent="0.3">
      <c r="K395" s="198">
        <f>'DANNO AGGREGATO'!D396</f>
        <v>96109.535438448962</v>
      </c>
      <c r="L395" s="15">
        <f t="shared" si="12"/>
        <v>96109.535438448962</v>
      </c>
      <c r="M395" s="15">
        <f t="shared" si="13"/>
        <v>0</v>
      </c>
    </row>
    <row r="396" spans="11:13" x14ac:dyDescent="0.3">
      <c r="K396" s="198">
        <f>'DANNO AGGREGATO'!D397</f>
        <v>103937.81656799081</v>
      </c>
      <c r="L396" s="15">
        <f t="shared" si="12"/>
        <v>103937.81656799081</v>
      </c>
      <c r="M396" s="15">
        <f t="shared" si="13"/>
        <v>0</v>
      </c>
    </row>
    <row r="397" spans="11:13" x14ac:dyDescent="0.3">
      <c r="K397" s="198">
        <f>'DANNO AGGREGATO'!D398</f>
        <v>78409.656063551753</v>
      </c>
      <c r="L397" s="15">
        <f t="shared" si="12"/>
        <v>78409.656063551753</v>
      </c>
      <c r="M397" s="15">
        <f t="shared" si="13"/>
        <v>0</v>
      </c>
    </row>
    <row r="398" spans="11:13" x14ac:dyDescent="0.3">
      <c r="K398" s="198">
        <f>'DANNO AGGREGATO'!D399</f>
        <v>94182.603423261666</v>
      </c>
      <c r="L398" s="15">
        <f t="shared" si="12"/>
        <v>94182.603423261666</v>
      </c>
      <c r="M398" s="15">
        <f t="shared" si="13"/>
        <v>0</v>
      </c>
    </row>
    <row r="399" spans="11:13" x14ac:dyDescent="0.3">
      <c r="K399" s="198">
        <f>'DANNO AGGREGATO'!D400</f>
        <v>85734.152247332735</v>
      </c>
      <c r="L399" s="15">
        <f t="shared" si="12"/>
        <v>85734.152247332735</v>
      </c>
      <c r="M399" s="15">
        <f t="shared" si="13"/>
        <v>0</v>
      </c>
    </row>
    <row r="400" spans="11:13" x14ac:dyDescent="0.3">
      <c r="K400" s="198">
        <f>'DANNO AGGREGATO'!D401</f>
        <v>87206.048687514252</v>
      </c>
      <c r="L400" s="15">
        <f t="shared" si="12"/>
        <v>87206.048687514252</v>
      </c>
      <c r="M400" s="15">
        <f t="shared" si="13"/>
        <v>0</v>
      </c>
    </row>
    <row r="401" spans="11:13" x14ac:dyDescent="0.3">
      <c r="K401" s="198">
        <f>'DANNO AGGREGATO'!D402</f>
        <v>120048.41670654243</v>
      </c>
      <c r="L401" s="15">
        <f t="shared" si="12"/>
        <v>105034.34882660338</v>
      </c>
      <c r="M401" s="15">
        <f t="shared" si="13"/>
        <v>15014.067879939044</v>
      </c>
    </row>
    <row r="402" spans="11:13" x14ac:dyDescent="0.3">
      <c r="K402" s="198">
        <f>'DANNO AGGREGATO'!D403</f>
        <v>68000.4421694263</v>
      </c>
      <c r="L402" s="15">
        <f t="shared" si="12"/>
        <v>68000.4421694263</v>
      </c>
      <c r="M402" s="15">
        <f t="shared" si="13"/>
        <v>0</v>
      </c>
    </row>
    <row r="403" spans="11:13" x14ac:dyDescent="0.3">
      <c r="K403" s="198">
        <f>'DANNO AGGREGATO'!D404</f>
        <v>78164.101273495704</v>
      </c>
      <c r="L403" s="15">
        <f t="shared" si="12"/>
        <v>78164.101273495704</v>
      </c>
      <c r="M403" s="15">
        <f t="shared" si="13"/>
        <v>0</v>
      </c>
    </row>
    <row r="404" spans="11:13" x14ac:dyDescent="0.3">
      <c r="K404" s="198">
        <f>'DANNO AGGREGATO'!D405</f>
        <v>112617.40687250107</v>
      </c>
      <c r="L404" s="15">
        <f t="shared" si="12"/>
        <v>105034.34882660338</v>
      </c>
      <c r="M404" s="15">
        <f t="shared" si="13"/>
        <v>7583.058045897691</v>
      </c>
    </row>
    <row r="405" spans="11:13" x14ac:dyDescent="0.3">
      <c r="K405" s="198">
        <f>'DANNO AGGREGATO'!D406</f>
        <v>79898.196670933394</v>
      </c>
      <c r="L405" s="15">
        <f t="shared" si="12"/>
        <v>79898.196670933394</v>
      </c>
      <c r="M405" s="15">
        <f t="shared" si="13"/>
        <v>0</v>
      </c>
    </row>
    <row r="406" spans="11:13" x14ac:dyDescent="0.3">
      <c r="K406" s="198">
        <f>'DANNO AGGREGATO'!D407</f>
        <v>94715.338294745059</v>
      </c>
      <c r="L406" s="15">
        <f t="shared" si="12"/>
        <v>94715.338294745059</v>
      </c>
      <c r="M406" s="15">
        <f t="shared" si="13"/>
        <v>0</v>
      </c>
    </row>
    <row r="407" spans="11:13" x14ac:dyDescent="0.3">
      <c r="K407" s="198">
        <f>'DANNO AGGREGATO'!D408</f>
        <v>78957.705160488651</v>
      </c>
      <c r="L407" s="15">
        <f t="shared" si="12"/>
        <v>78957.705160488651</v>
      </c>
      <c r="M407" s="15">
        <f t="shared" si="13"/>
        <v>0</v>
      </c>
    </row>
    <row r="408" spans="11:13" x14ac:dyDescent="0.3">
      <c r="K408" s="198">
        <f>'DANNO AGGREGATO'!D409</f>
        <v>86380.880047291095</v>
      </c>
      <c r="L408" s="15">
        <f t="shared" si="12"/>
        <v>86380.880047291095</v>
      </c>
      <c r="M408" s="15">
        <f t="shared" si="13"/>
        <v>0</v>
      </c>
    </row>
    <row r="409" spans="11:13" x14ac:dyDescent="0.3">
      <c r="K409" s="198">
        <f>'DANNO AGGREGATO'!D410</f>
        <v>102168.18923487527</v>
      </c>
      <c r="L409" s="15">
        <f t="shared" si="12"/>
        <v>102168.18923487527</v>
      </c>
      <c r="M409" s="15">
        <f t="shared" si="13"/>
        <v>0</v>
      </c>
    </row>
    <row r="410" spans="11:13" x14ac:dyDescent="0.3">
      <c r="K410" s="198">
        <f>'DANNO AGGREGATO'!D411</f>
        <v>120856.67360639606</v>
      </c>
      <c r="L410" s="15">
        <f t="shared" si="12"/>
        <v>105034.34882660338</v>
      </c>
      <c r="M410" s="15">
        <f t="shared" si="13"/>
        <v>15822.324779792674</v>
      </c>
    </row>
    <row r="411" spans="11:13" x14ac:dyDescent="0.3">
      <c r="K411" s="198">
        <f>'DANNO AGGREGATO'!D412</f>
        <v>100992.01959866044</v>
      </c>
      <c r="L411" s="15">
        <f t="shared" si="12"/>
        <v>100992.01959866044</v>
      </c>
      <c r="M411" s="15">
        <f t="shared" si="13"/>
        <v>0</v>
      </c>
    </row>
    <row r="412" spans="11:13" x14ac:dyDescent="0.3">
      <c r="K412" s="198">
        <f>'DANNO AGGREGATO'!D413</f>
        <v>61057.004429290828</v>
      </c>
      <c r="L412" s="15">
        <f t="shared" si="12"/>
        <v>61057.004429290828</v>
      </c>
      <c r="M412" s="15">
        <f t="shared" si="13"/>
        <v>0</v>
      </c>
    </row>
    <row r="413" spans="11:13" x14ac:dyDescent="0.3">
      <c r="K413" s="198">
        <f>'DANNO AGGREGATO'!D414</f>
        <v>109196.9115405208</v>
      </c>
      <c r="L413" s="15">
        <f t="shared" si="12"/>
        <v>105034.34882660338</v>
      </c>
      <c r="M413" s="15">
        <f t="shared" si="13"/>
        <v>4162.5627139174176</v>
      </c>
    </row>
    <row r="414" spans="11:13" x14ac:dyDescent="0.3">
      <c r="K414" s="198">
        <f>'DANNO AGGREGATO'!D415</f>
        <v>107456.21848200771</v>
      </c>
      <c r="L414" s="15">
        <f t="shared" si="12"/>
        <v>105034.34882660338</v>
      </c>
      <c r="M414" s="15">
        <f t="shared" si="13"/>
        <v>2421.8696554043272</v>
      </c>
    </row>
    <row r="415" spans="11:13" x14ac:dyDescent="0.3">
      <c r="K415" s="198">
        <f>'DANNO AGGREGATO'!D416</f>
        <v>100757.23801228229</v>
      </c>
      <c r="L415" s="15">
        <f t="shared" si="12"/>
        <v>100757.23801228229</v>
      </c>
      <c r="M415" s="15">
        <f t="shared" si="13"/>
        <v>0</v>
      </c>
    </row>
    <row r="416" spans="11:13" x14ac:dyDescent="0.3">
      <c r="K416" s="198">
        <f>'DANNO AGGREGATO'!D417</f>
        <v>96274.960299137907</v>
      </c>
      <c r="L416" s="15">
        <f t="shared" si="12"/>
        <v>96274.960299137907</v>
      </c>
      <c r="M416" s="15">
        <f t="shared" si="13"/>
        <v>0</v>
      </c>
    </row>
    <row r="417" spans="11:13" x14ac:dyDescent="0.3">
      <c r="K417" s="198">
        <f>'DANNO AGGREGATO'!D418</f>
        <v>97325.641865604965</v>
      </c>
      <c r="L417" s="15">
        <f t="shared" si="12"/>
        <v>97325.641865604965</v>
      </c>
      <c r="M417" s="15">
        <f t="shared" si="13"/>
        <v>0</v>
      </c>
    </row>
    <row r="418" spans="11:13" x14ac:dyDescent="0.3">
      <c r="K418" s="198">
        <f>'DANNO AGGREGATO'!D419</f>
        <v>106360.00814705133</v>
      </c>
      <c r="L418" s="15">
        <f t="shared" si="12"/>
        <v>105034.34882660338</v>
      </c>
      <c r="M418" s="15">
        <f t="shared" si="13"/>
        <v>1325.6593204479432</v>
      </c>
    </row>
    <row r="419" spans="11:13" x14ac:dyDescent="0.3">
      <c r="K419" s="198">
        <f>'DANNO AGGREGATO'!D420</f>
        <v>84656.225386407983</v>
      </c>
      <c r="L419" s="15">
        <f t="shared" si="12"/>
        <v>84656.225386407983</v>
      </c>
      <c r="M419" s="15">
        <f t="shared" si="13"/>
        <v>0</v>
      </c>
    </row>
    <row r="420" spans="11:13" x14ac:dyDescent="0.3">
      <c r="K420" s="198">
        <f>'DANNO AGGREGATO'!D421</f>
        <v>94589.283441451844</v>
      </c>
      <c r="L420" s="15">
        <f t="shared" si="12"/>
        <v>94589.283441451844</v>
      </c>
      <c r="M420" s="15">
        <f t="shared" si="13"/>
        <v>0</v>
      </c>
    </row>
    <row r="421" spans="11:13" x14ac:dyDescent="0.3">
      <c r="K421" s="198">
        <f>'DANNO AGGREGATO'!D422</f>
        <v>93904.354789690231</v>
      </c>
      <c r="L421" s="15">
        <f t="shared" si="12"/>
        <v>93904.354789690231</v>
      </c>
      <c r="M421" s="15">
        <f t="shared" si="13"/>
        <v>0</v>
      </c>
    </row>
    <row r="422" spans="11:13" x14ac:dyDescent="0.3">
      <c r="K422" s="198">
        <f>'DANNO AGGREGATO'!D423</f>
        <v>95065.842771099444</v>
      </c>
      <c r="L422" s="15">
        <f t="shared" si="12"/>
        <v>95065.842771099444</v>
      </c>
      <c r="M422" s="15">
        <f t="shared" si="13"/>
        <v>0</v>
      </c>
    </row>
    <row r="423" spans="11:13" x14ac:dyDescent="0.3">
      <c r="K423" s="198">
        <f>'DANNO AGGREGATO'!D424</f>
        <v>92290.80238095086</v>
      </c>
      <c r="L423" s="15">
        <f t="shared" si="12"/>
        <v>92290.80238095086</v>
      </c>
      <c r="M423" s="15">
        <f t="shared" si="13"/>
        <v>0</v>
      </c>
    </row>
    <row r="424" spans="11:13" x14ac:dyDescent="0.3">
      <c r="K424" s="198">
        <f>'DANNO AGGREGATO'!D425</f>
        <v>83822.103383934242</v>
      </c>
      <c r="L424" s="15">
        <f t="shared" si="12"/>
        <v>83822.103383934242</v>
      </c>
      <c r="M424" s="15">
        <f t="shared" si="13"/>
        <v>0</v>
      </c>
    </row>
    <row r="425" spans="11:13" x14ac:dyDescent="0.3">
      <c r="K425" s="198">
        <f>'DANNO AGGREGATO'!D426</f>
        <v>84022.471024853585</v>
      </c>
      <c r="L425" s="15">
        <f t="shared" si="12"/>
        <v>84022.471024853585</v>
      </c>
      <c r="M425" s="15">
        <f t="shared" si="13"/>
        <v>0</v>
      </c>
    </row>
    <row r="426" spans="11:13" x14ac:dyDescent="0.3">
      <c r="K426" s="198">
        <f>'DANNO AGGREGATO'!D427</f>
        <v>115078.84534833112</v>
      </c>
      <c r="L426" s="15">
        <f t="shared" si="12"/>
        <v>105034.34882660338</v>
      </c>
      <c r="M426" s="15">
        <f t="shared" si="13"/>
        <v>10044.496521727735</v>
      </c>
    </row>
    <row r="427" spans="11:13" x14ac:dyDescent="0.3">
      <c r="K427" s="198">
        <f>'DANNO AGGREGATO'!D428</f>
        <v>72775.850178272434</v>
      </c>
      <c r="L427" s="15">
        <f t="shared" si="12"/>
        <v>72775.850178272434</v>
      </c>
      <c r="M427" s="15">
        <f t="shared" si="13"/>
        <v>0</v>
      </c>
    </row>
    <row r="428" spans="11:13" x14ac:dyDescent="0.3">
      <c r="K428" s="198">
        <f>'DANNO AGGREGATO'!D429</f>
        <v>118222.36308749487</v>
      </c>
      <c r="L428" s="15">
        <f t="shared" si="12"/>
        <v>105034.34882660338</v>
      </c>
      <c r="M428" s="15">
        <f t="shared" si="13"/>
        <v>13188.01426089149</v>
      </c>
    </row>
    <row r="429" spans="11:13" x14ac:dyDescent="0.3">
      <c r="K429" s="198">
        <f>'DANNO AGGREGATO'!D430</f>
        <v>109056.0725266736</v>
      </c>
      <c r="L429" s="15">
        <f t="shared" si="12"/>
        <v>105034.34882660338</v>
      </c>
      <c r="M429" s="15">
        <f t="shared" si="13"/>
        <v>4021.7237000702153</v>
      </c>
    </row>
    <row r="430" spans="11:13" x14ac:dyDescent="0.3">
      <c r="K430" s="198">
        <f>'DANNO AGGREGATO'!D431</f>
        <v>71843.4710042019</v>
      </c>
      <c r="L430" s="15">
        <f t="shared" si="12"/>
        <v>71843.4710042019</v>
      </c>
      <c r="M430" s="15">
        <f t="shared" si="13"/>
        <v>0</v>
      </c>
    </row>
    <row r="431" spans="11:13" x14ac:dyDescent="0.3">
      <c r="K431" s="198">
        <f>'DANNO AGGREGATO'!D432</f>
        <v>100399.10030400597</v>
      </c>
      <c r="L431" s="15">
        <f t="shared" si="12"/>
        <v>100399.10030400597</v>
      </c>
      <c r="M431" s="15">
        <f t="shared" si="13"/>
        <v>0</v>
      </c>
    </row>
    <row r="432" spans="11:13" x14ac:dyDescent="0.3">
      <c r="K432" s="198">
        <f>'DANNO AGGREGATO'!D433</f>
        <v>102851.27780199346</v>
      </c>
      <c r="L432" s="15">
        <f t="shared" si="12"/>
        <v>102851.27780199346</v>
      </c>
      <c r="M432" s="15">
        <f t="shared" si="13"/>
        <v>0</v>
      </c>
    </row>
    <row r="433" spans="11:13" x14ac:dyDescent="0.3">
      <c r="K433" s="198">
        <f>'DANNO AGGREGATO'!D434</f>
        <v>91430.440027407341</v>
      </c>
      <c r="L433" s="15">
        <f t="shared" si="12"/>
        <v>91430.440027407341</v>
      </c>
      <c r="M433" s="15">
        <f t="shared" si="13"/>
        <v>0</v>
      </c>
    </row>
    <row r="434" spans="11:13" x14ac:dyDescent="0.3">
      <c r="K434" s="198">
        <f>'DANNO AGGREGATO'!D435</f>
        <v>61756.354973719041</v>
      </c>
      <c r="L434" s="15">
        <f t="shared" si="12"/>
        <v>61756.354973719041</v>
      </c>
      <c r="M434" s="15">
        <f t="shared" si="13"/>
        <v>0</v>
      </c>
    </row>
    <row r="435" spans="11:13" x14ac:dyDescent="0.3">
      <c r="K435" s="198">
        <f>'DANNO AGGREGATO'!D436</f>
        <v>73148.728530142849</v>
      </c>
      <c r="L435" s="15">
        <f t="shared" si="12"/>
        <v>73148.728530142849</v>
      </c>
      <c r="M435" s="15">
        <f t="shared" si="13"/>
        <v>0</v>
      </c>
    </row>
    <row r="436" spans="11:13" x14ac:dyDescent="0.3">
      <c r="K436" s="198">
        <f>'DANNO AGGREGATO'!D437</f>
        <v>103235.98235177422</v>
      </c>
      <c r="L436" s="15">
        <f t="shared" si="12"/>
        <v>103235.98235177422</v>
      </c>
      <c r="M436" s="15">
        <f t="shared" si="13"/>
        <v>0</v>
      </c>
    </row>
    <row r="437" spans="11:13" x14ac:dyDescent="0.3">
      <c r="K437" s="198">
        <f>'DANNO AGGREGATO'!D438</f>
        <v>113023.76398966665</v>
      </c>
      <c r="L437" s="15">
        <f t="shared" si="12"/>
        <v>105034.34882660338</v>
      </c>
      <c r="M437" s="15">
        <f t="shared" si="13"/>
        <v>7989.4151630632696</v>
      </c>
    </row>
    <row r="438" spans="11:13" x14ac:dyDescent="0.3">
      <c r="K438" s="198">
        <f>'DANNO AGGREGATO'!D439</f>
        <v>112012.51768770737</v>
      </c>
      <c r="L438" s="15">
        <f t="shared" si="12"/>
        <v>105034.34882660338</v>
      </c>
      <c r="M438" s="15">
        <f t="shared" si="13"/>
        <v>6978.1688611039863</v>
      </c>
    </row>
    <row r="439" spans="11:13" x14ac:dyDescent="0.3">
      <c r="K439" s="198">
        <f>'DANNO AGGREGATO'!D440</f>
        <v>91556.970013202605</v>
      </c>
      <c r="L439" s="15">
        <f t="shared" si="12"/>
        <v>91556.970013202605</v>
      </c>
      <c r="M439" s="15">
        <f t="shared" si="13"/>
        <v>0</v>
      </c>
    </row>
    <row r="440" spans="11:13" x14ac:dyDescent="0.3">
      <c r="K440" s="198">
        <f>'DANNO AGGREGATO'!D441</f>
        <v>117208.78845562565</v>
      </c>
      <c r="L440" s="15">
        <f t="shared" si="12"/>
        <v>105034.34882660338</v>
      </c>
      <c r="M440" s="15">
        <f t="shared" si="13"/>
        <v>12174.439629022265</v>
      </c>
    </row>
    <row r="441" spans="11:13" x14ac:dyDescent="0.3">
      <c r="K441" s="198">
        <f>'DANNO AGGREGATO'!D442</f>
        <v>83642.372267415631</v>
      </c>
      <c r="L441" s="15">
        <f t="shared" si="12"/>
        <v>83642.372267415631</v>
      </c>
      <c r="M441" s="15">
        <f t="shared" si="13"/>
        <v>0</v>
      </c>
    </row>
    <row r="442" spans="11:13" x14ac:dyDescent="0.3">
      <c r="K442" s="198">
        <f>'DANNO AGGREGATO'!D443</f>
        <v>64993.430238460111</v>
      </c>
      <c r="L442" s="15">
        <f t="shared" si="12"/>
        <v>64993.430238460111</v>
      </c>
      <c r="M442" s="15">
        <f t="shared" si="13"/>
        <v>0</v>
      </c>
    </row>
    <row r="443" spans="11:13" x14ac:dyDescent="0.3">
      <c r="K443" s="198">
        <f>'DANNO AGGREGATO'!D444</f>
        <v>70200.300162214087</v>
      </c>
      <c r="L443" s="15">
        <f t="shared" si="12"/>
        <v>70200.300162214087</v>
      </c>
      <c r="M443" s="15">
        <f t="shared" si="13"/>
        <v>0</v>
      </c>
    </row>
    <row r="444" spans="11:13" x14ac:dyDescent="0.3">
      <c r="K444" s="198">
        <f>'DANNO AGGREGATO'!D445</f>
        <v>103077.82138441522</v>
      </c>
      <c r="L444" s="15">
        <f t="shared" si="12"/>
        <v>103077.82138441522</v>
      </c>
      <c r="M444" s="15">
        <f t="shared" si="13"/>
        <v>0</v>
      </c>
    </row>
    <row r="445" spans="11:13" x14ac:dyDescent="0.3">
      <c r="K445" s="198">
        <f>'DANNO AGGREGATO'!D446</f>
        <v>87442.488711544444</v>
      </c>
      <c r="L445" s="15">
        <f t="shared" si="12"/>
        <v>87442.488711544444</v>
      </c>
      <c r="M445" s="15">
        <f t="shared" si="13"/>
        <v>0</v>
      </c>
    </row>
    <row r="446" spans="11:13" x14ac:dyDescent="0.3">
      <c r="K446" s="198">
        <f>'DANNO AGGREGATO'!D447</f>
        <v>85615.815860286821</v>
      </c>
      <c r="L446" s="15">
        <f t="shared" si="12"/>
        <v>85615.815860286821</v>
      </c>
      <c r="M446" s="15">
        <f t="shared" si="13"/>
        <v>0</v>
      </c>
    </row>
    <row r="447" spans="11:13" x14ac:dyDescent="0.3">
      <c r="K447" s="198">
        <f>'DANNO AGGREGATO'!D448</f>
        <v>107222.7555222934</v>
      </c>
      <c r="L447" s="15">
        <f t="shared" si="12"/>
        <v>105034.34882660338</v>
      </c>
      <c r="M447" s="15">
        <f t="shared" si="13"/>
        <v>2188.4066956900206</v>
      </c>
    </row>
    <row r="448" spans="11:13" x14ac:dyDescent="0.3">
      <c r="K448" s="198">
        <f>'DANNO AGGREGATO'!D449</f>
        <v>102437.75591856062</v>
      </c>
      <c r="L448" s="15">
        <f t="shared" si="12"/>
        <v>102437.75591856062</v>
      </c>
      <c r="M448" s="15">
        <f t="shared" si="13"/>
        <v>0</v>
      </c>
    </row>
    <row r="449" spans="11:13" x14ac:dyDescent="0.3">
      <c r="K449" s="198">
        <f>'DANNO AGGREGATO'!D450</f>
        <v>79306.673178727608</v>
      </c>
      <c r="L449" s="15">
        <f t="shared" si="12"/>
        <v>79306.673178727608</v>
      </c>
      <c r="M449" s="15">
        <f t="shared" si="13"/>
        <v>0</v>
      </c>
    </row>
    <row r="450" spans="11:13" x14ac:dyDescent="0.3">
      <c r="K450" s="198">
        <f>'DANNO AGGREGATO'!D451</f>
        <v>92355.260515380171</v>
      </c>
      <c r="L450" s="15">
        <f t="shared" si="12"/>
        <v>92355.260515380171</v>
      </c>
      <c r="M450" s="15">
        <f t="shared" si="13"/>
        <v>0</v>
      </c>
    </row>
    <row r="451" spans="11:13" x14ac:dyDescent="0.3">
      <c r="K451" s="198">
        <f>'DANNO AGGREGATO'!D452</f>
        <v>97203.244920935787</v>
      </c>
      <c r="L451" s="15">
        <f t="shared" ref="L451:L514" si="14">IF(K451&lt;=$B$9,K451,$B$9)</f>
        <v>97203.244920935787</v>
      </c>
      <c r="M451" s="15">
        <f t="shared" ref="M451:M514" si="15">K451-L451</f>
        <v>0</v>
      </c>
    </row>
    <row r="452" spans="11:13" x14ac:dyDescent="0.3">
      <c r="K452" s="198">
        <f>'DANNO AGGREGATO'!D453</f>
        <v>72051.945343564847</v>
      </c>
      <c r="L452" s="15">
        <f t="shared" si="14"/>
        <v>72051.945343564847</v>
      </c>
      <c r="M452" s="15">
        <f t="shared" si="15"/>
        <v>0</v>
      </c>
    </row>
    <row r="453" spans="11:13" x14ac:dyDescent="0.3">
      <c r="K453" s="198">
        <f>'DANNO AGGREGATO'!D454</f>
        <v>88311.702813724478</v>
      </c>
      <c r="L453" s="15">
        <f t="shared" si="14"/>
        <v>88311.702813724478</v>
      </c>
      <c r="M453" s="15">
        <f t="shared" si="15"/>
        <v>0</v>
      </c>
    </row>
    <row r="454" spans="11:13" x14ac:dyDescent="0.3">
      <c r="K454" s="198">
        <f>'DANNO AGGREGATO'!D455</f>
        <v>96417.843915072837</v>
      </c>
      <c r="L454" s="15">
        <f t="shared" si="14"/>
        <v>96417.843915072837</v>
      </c>
      <c r="M454" s="15">
        <f t="shared" si="15"/>
        <v>0</v>
      </c>
    </row>
    <row r="455" spans="11:13" x14ac:dyDescent="0.3">
      <c r="K455" s="198">
        <f>'DANNO AGGREGATO'!D456</f>
        <v>74994.084512521265</v>
      </c>
      <c r="L455" s="15">
        <f t="shared" si="14"/>
        <v>74994.084512521265</v>
      </c>
      <c r="M455" s="15">
        <f t="shared" si="15"/>
        <v>0</v>
      </c>
    </row>
    <row r="456" spans="11:13" x14ac:dyDescent="0.3">
      <c r="K456" s="198">
        <f>'DANNO AGGREGATO'!D457</f>
        <v>89987.854354379277</v>
      </c>
      <c r="L456" s="15">
        <f t="shared" si="14"/>
        <v>89987.854354379277</v>
      </c>
      <c r="M456" s="15">
        <f t="shared" si="15"/>
        <v>0</v>
      </c>
    </row>
    <row r="457" spans="11:13" x14ac:dyDescent="0.3">
      <c r="K457" s="198">
        <f>'DANNO AGGREGATO'!D458</f>
        <v>96097.848131153034</v>
      </c>
      <c r="L457" s="15">
        <f t="shared" si="14"/>
        <v>96097.848131153034</v>
      </c>
      <c r="M457" s="15">
        <f t="shared" si="15"/>
        <v>0</v>
      </c>
    </row>
    <row r="458" spans="11:13" x14ac:dyDescent="0.3">
      <c r="K458" s="198">
        <f>'DANNO AGGREGATO'!D459</f>
        <v>75345.648107953952</v>
      </c>
      <c r="L458" s="15">
        <f t="shared" si="14"/>
        <v>75345.648107953952</v>
      </c>
      <c r="M458" s="15">
        <f t="shared" si="15"/>
        <v>0</v>
      </c>
    </row>
    <row r="459" spans="11:13" x14ac:dyDescent="0.3">
      <c r="K459" s="198">
        <f>'DANNO AGGREGATO'!D460</f>
        <v>110143.19216992933</v>
      </c>
      <c r="L459" s="15">
        <f t="shared" si="14"/>
        <v>105034.34882660338</v>
      </c>
      <c r="M459" s="15">
        <f t="shared" si="15"/>
        <v>5108.8433433259488</v>
      </c>
    </row>
    <row r="460" spans="11:13" x14ac:dyDescent="0.3">
      <c r="K460" s="198">
        <f>'DANNO AGGREGATO'!D461</f>
        <v>87683.876348915699</v>
      </c>
      <c r="L460" s="15">
        <f t="shared" si="14"/>
        <v>87683.876348915699</v>
      </c>
      <c r="M460" s="15">
        <f t="shared" si="15"/>
        <v>0</v>
      </c>
    </row>
    <row r="461" spans="11:13" x14ac:dyDescent="0.3">
      <c r="K461" s="198">
        <f>'DANNO AGGREGATO'!D462</f>
        <v>73893.840661998576</v>
      </c>
      <c r="L461" s="15">
        <f t="shared" si="14"/>
        <v>73893.840661998576</v>
      </c>
      <c r="M461" s="15">
        <f t="shared" si="15"/>
        <v>0</v>
      </c>
    </row>
    <row r="462" spans="11:13" x14ac:dyDescent="0.3">
      <c r="K462" s="198">
        <f>'DANNO AGGREGATO'!D463</f>
        <v>110019.65109682351</v>
      </c>
      <c r="L462" s="15">
        <f t="shared" si="14"/>
        <v>105034.34882660338</v>
      </c>
      <c r="M462" s="15">
        <f t="shared" si="15"/>
        <v>4985.302270220127</v>
      </c>
    </row>
    <row r="463" spans="11:13" x14ac:dyDescent="0.3">
      <c r="K463" s="198">
        <f>'DANNO AGGREGATO'!D464</f>
        <v>76716.353954304926</v>
      </c>
      <c r="L463" s="15">
        <f t="shared" si="14"/>
        <v>76716.353954304926</v>
      </c>
      <c r="M463" s="15">
        <f t="shared" si="15"/>
        <v>0</v>
      </c>
    </row>
    <row r="464" spans="11:13" x14ac:dyDescent="0.3">
      <c r="K464" s="198">
        <f>'DANNO AGGREGATO'!D465</f>
        <v>68434.89650012723</v>
      </c>
      <c r="L464" s="15">
        <f t="shared" si="14"/>
        <v>68434.89650012723</v>
      </c>
      <c r="M464" s="15">
        <f t="shared" si="15"/>
        <v>0</v>
      </c>
    </row>
    <row r="465" spans="11:13" x14ac:dyDescent="0.3">
      <c r="K465" s="198">
        <f>'DANNO AGGREGATO'!D466</f>
        <v>83601.920766022071</v>
      </c>
      <c r="L465" s="15">
        <f t="shared" si="14"/>
        <v>83601.920766022071</v>
      </c>
      <c r="M465" s="15">
        <f t="shared" si="15"/>
        <v>0</v>
      </c>
    </row>
    <row r="466" spans="11:13" x14ac:dyDescent="0.3">
      <c r="K466" s="198">
        <f>'DANNO AGGREGATO'!D467</f>
        <v>95161.251049698723</v>
      </c>
      <c r="L466" s="15">
        <f t="shared" si="14"/>
        <v>95161.251049698723</v>
      </c>
      <c r="M466" s="15">
        <f t="shared" si="15"/>
        <v>0</v>
      </c>
    </row>
    <row r="467" spans="11:13" x14ac:dyDescent="0.3">
      <c r="K467" s="198">
        <f>'DANNO AGGREGATO'!D468</f>
        <v>103825.27235437313</v>
      </c>
      <c r="L467" s="15">
        <f t="shared" si="14"/>
        <v>103825.27235437313</v>
      </c>
      <c r="M467" s="15">
        <f t="shared" si="15"/>
        <v>0</v>
      </c>
    </row>
    <row r="468" spans="11:13" x14ac:dyDescent="0.3">
      <c r="K468" s="198">
        <f>'DANNO AGGREGATO'!D469</f>
        <v>64361.967745732429</v>
      </c>
      <c r="L468" s="15">
        <f t="shared" si="14"/>
        <v>64361.967745732429</v>
      </c>
      <c r="M468" s="15">
        <f t="shared" si="15"/>
        <v>0</v>
      </c>
    </row>
    <row r="469" spans="11:13" x14ac:dyDescent="0.3">
      <c r="K469" s="198">
        <f>'DANNO AGGREGATO'!D470</f>
        <v>85810.333707806349</v>
      </c>
      <c r="L469" s="15">
        <f t="shared" si="14"/>
        <v>85810.333707806349</v>
      </c>
      <c r="M469" s="15">
        <f t="shared" si="15"/>
        <v>0</v>
      </c>
    </row>
    <row r="470" spans="11:13" x14ac:dyDescent="0.3">
      <c r="K470" s="198">
        <f>'DANNO AGGREGATO'!D471</f>
        <v>84067.378459637504</v>
      </c>
      <c r="L470" s="15">
        <f t="shared" si="14"/>
        <v>84067.378459637504</v>
      </c>
      <c r="M470" s="15">
        <f t="shared" si="15"/>
        <v>0</v>
      </c>
    </row>
    <row r="471" spans="11:13" x14ac:dyDescent="0.3">
      <c r="K471" s="198">
        <f>'DANNO AGGREGATO'!D472</f>
        <v>95799.385588937701</v>
      </c>
      <c r="L471" s="15">
        <f t="shared" si="14"/>
        <v>95799.385588937701</v>
      </c>
      <c r="M471" s="15">
        <f t="shared" si="15"/>
        <v>0</v>
      </c>
    </row>
    <row r="472" spans="11:13" x14ac:dyDescent="0.3">
      <c r="K472" s="198">
        <f>'DANNO AGGREGATO'!D473</f>
        <v>86863.35511114604</v>
      </c>
      <c r="L472" s="15">
        <f t="shared" si="14"/>
        <v>86863.35511114604</v>
      </c>
      <c r="M472" s="15">
        <f t="shared" si="15"/>
        <v>0</v>
      </c>
    </row>
    <row r="473" spans="11:13" x14ac:dyDescent="0.3">
      <c r="K473" s="198">
        <f>'DANNO AGGREGATO'!D474</f>
        <v>76158.028452588944</v>
      </c>
      <c r="L473" s="15">
        <f t="shared" si="14"/>
        <v>76158.028452588944</v>
      </c>
      <c r="M473" s="15">
        <f t="shared" si="15"/>
        <v>0</v>
      </c>
    </row>
    <row r="474" spans="11:13" x14ac:dyDescent="0.3">
      <c r="K474" s="198">
        <f>'DANNO AGGREGATO'!D475</f>
        <v>83670.169202686113</v>
      </c>
      <c r="L474" s="15">
        <f t="shared" si="14"/>
        <v>83670.169202686113</v>
      </c>
      <c r="M474" s="15">
        <f t="shared" si="15"/>
        <v>0</v>
      </c>
    </row>
    <row r="475" spans="11:13" x14ac:dyDescent="0.3">
      <c r="K475" s="198">
        <f>'DANNO AGGREGATO'!D476</f>
        <v>94930.450135168954</v>
      </c>
      <c r="L475" s="15">
        <f t="shared" si="14"/>
        <v>94930.450135168954</v>
      </c>
      <c r="M475" s="15">
        <f t="shared" si="15"/>
        <v>0</v>
      </c>
    </row>
    <row r="476" spans="11:13" x14ac:dyDescent="0.3">
      <c r="K476" s="198">
        <f>'DANNO AGGREGATO'!D477</f>
        <v>70087.692596767098</v>
      </c>
      <c r="L476" s="15">
        <f t="shared" si="14"/>
        <v>70087.692596767098</v>
      </c>
      <c r="M476" s="15">
        <f t="shared" si="15"/>
        <v>0</v>
      </c>
    </row>
    <row r="477" spans="11:13" x14ac:dyDescent="0.3">
      <c r="K477" s="198">
        <f>'DANNO AGGREGATO'!D478</f>
        <v>108857.80341591228</v>
      </c>
      <c r="L477" s="15">
        <f t="shared" si="14"/>
        <v>105034.34882660338</v>
      </c>
      <c r="M477" s="15">
        <f t="shared" si="15"/>
        <v>3823.4545893088944</v>
      </c>
    </row>
    <row r="478" spans="11:13" x14ac:dyDescent="0.3">
      <c r="K478" s="198">
        <f>'DANNO AGGREGATO'!D479</f>
        <v>91793.983956093187</v>
      </c>
      <c r="L478" s="15">
        <f t="shared" si="14"/>
        <v>91793.983956093187</v>
      </c>
      <c r="M478" s="15">
        <f t="shared" si="15"/>
        <v>0</v>
      </c>
    </row>
    <row r="479" spans="11:13" x14ac:dyDescent="0.3">
      <c r="K479" s="198">
        <f>'DANNO AGGREGATO'!D480</f>
        <v>99990.239851105289</v>
      </c>
      <c r="L479" s="15">
        <f t="shared" si="14"/>
        <v>99990.239851105289</v>
      </c>
      <c r="M479" s="15">
        <f t="shared" si="15"/>
        <v>0</v>
      </c>
    </row>
    <row r="480" spans="11:13" x14ac:dyDescent="0.3">
      <c r="K480" s="198">
        <f>'DANNO AGGREGATO'!D481</f>
        <v>104754.25458895258</v>
      </c>
      <c r="L480" s="15">
        <f t="shared" si="14"/>
        <v>104754.25458895258</v>
      </c>
      <c r="M480" s="15">
        <f t="shared" si="15"/>
        <v>0</v>
      </c>
    </row>
    <row r="481" spans="11:13" x14ac:dyDescent="0.3">
      <c r="K481" s="198">
        <f>'DANNO AGGREGATO'!D482</f>
        <v>92264.49330022854</v>
      </c>
      <c r="L481" s="15">
        <f t="shared" si="14"/>
        <v>92264.49330022854</v>
      </c>
      <c r="M481" s="15">
        <f t="shared" si="15"/>
        <v>0</v>
      </c>
    </row>
    <row r="482" spans="11:13" x14ac:dyDescent="0.3">
      <c r="K482" s="198">
        <f>'DANNO AGGREGATO'!D483</f>
        <v>75252.725720239716</v>
      </c>
      <c r="L482" s="15">
        <f t="shared" si="14"/>
        <v>75252.725720239716</v>
      </c>
      <c r="M482" s="15">
        <f t="shared" si="15"/>
        <v>0</v>
      </c>
    </row>
    <row r="483" spans="11:13" x14ac:dyDescent="0.3">
      <c r="K483" s="198">
        <f>'DANNO AGGREGATO'!D484</f>
        <v>86992.928474118642</v>
      </c>
      <c r="L483" s="15">
        <f t="shared" si="14"/>
        <v>86992.928474118642</v>
      </c>
      <c r="M483" s="15">
        <f t="shared" si="15"/>
        <v>0</v>
      </c>
    </row>
    <row r="484" spans="11:13" x14ac:dyDescent="0.3">
      <c r="K484" s="198">
        <f>'DANNO AGGREGATO'!D485</f>
        <v>102472.81470496989</v>
      </c>
      <c r="L484" s="15">
        <f t="shared" si="14"/>
        <v>102472.81470496989</v>
      </c>
      <c r="M484" s="15">
        <f t="shared" si="15"/>
        <v>0</v>
      </c>
    </row>
    <row r="485" spans="11:13" x14ac:dyDescent="0.3">
      <c r="K485" s="198">
        <f>'DANNO AGGREGATO'!D486</f>
        <v>91241.769550093741</v>
      </c>
      <c r="L485" s="15">
        <f t="shared" si="14"/>
        <v>91241.769550093741</v>
      </c>
      <c r="M485" s="15">
        <f t="shared" si="15"/>
        <v>0</v>
      </c>
    </row>
    <row r="486" spans="11:13" x14ac:dyDescent="0.3">
      <c r="K486" s="198">
        <f>'DANNO AGGREGATO'!D487</f>
        <v>106135.31690962662</v>
      </c>
      <c r="L486" s="15">
        <f t="shared" si="14"/>
        <v>105034.34882660338</v>
      </c>
      <c r="M486" s="15">
        <f t="shared" si="15"/>
        <v>1100.9680830232392</v>
      </c>
    </row>
    <row r="487" spans="11:13" x14ac:dyDescent="0.3">
      <c r="K487" s="198">
        <f>'DANNO AGGREGATO'!D488</f>
        <v>84536.239653880359</v>
      </c>
      <c r="L487" s="15">
        <f t="shared" si="14"/>
        <v>84536.239653880359</v>
      </c>
      <c r="M487" s="15">
        <f t="shared" si="15"/>
        <v>0</v>
      </c>
    </row>
    <row r="488" spans="11:13" x14ac:dyDescent="0.3">
      <c r="K488" s="198">
        <f>'DANNO AGGREGATO'!D489</f>
        <v>84078.707084978043</v>
      </c>
      <c r="L488" s="15">
        <f t="shared" si="14"/>
        <v>84078.707084978043</v>
      </c>
      <c r="M488" s="15">
        <f t="shared" si="15"/>
        <v>0</v>
      </c>
    </row>
    <row r="489" spans="11:13" x14ac:dyDescent="0.3">
      <c r="K489" s="198">
        <f>'DANNO AGGREGATO'!D490</f>
        <v>85683.601112722215</v>
      </c>
      <c r="L489" s="15">
        <f t="shared" si="14"/>
        <v>85683.601112722215</v>
      </c>
      <c r="M489" s="15">
        <f t="shared" si="15"/>
        <v>0</v>
      </c>
    </row>
    <row r="490" spans="11:13" x14ac:dyDescent="0.3">
      <c r="K490" s="198">
        <f>'DANNO AGGREGATO'!D491</f>
        <v>96459.424354978037</v>
      </c>
      <c r="L490" s="15">
        <f t="shared" si="14"/>
        <v>96459.424354978037</v>
      </c>
      <c r="M490" s="15">
        <f t="shared" si="15"/>
        <v>0</v>
      </c>
    </row>
    <row r="491" spans="11:13" x14ac:dyDescent="0.3">
      <c r="K491" s="198">
        <f>'DANNO AGGREGATO'!D492</f>
        <v>86385.947723557561</v>
      </c>
      <c r="L491" s="15">
        <f t="shared" si="14"/>
        <v>86385.947723557561</v>
      </c>
      <c r="M491" s="15">
        <f t="shared" si="15"/>
        <v>0</v>
      </c>
    </row>
    <row r="492" spans="11:13" x14ac:dyDescent="0.3">
      <c r="K492" s="198">
        <f>'DANNO AGGREGATO'!D493</f>
        <v>107998.77177108989</v>
      </c>
      <c r="L492" s="15">
        <f t="shared" si="14"/>
        <v>105034.34882660338</v>
      </c>
      <c r="M492" s="15">
        <f t="shared" si="15"/>
        <v>2964.422944486505</v>
      </c>
    </row>
    <row r="493" spans="11:13" x14ac:dyDescent="0.3">
      <c r="K493" s="198">
        <f>'DANNO AGGREGATO'!D494</f>
        <v>80404.884981202151</v>
      </c>
      <c r="L493" s="15">
        <f t="shared" si="14"/>
        <v>80404.884981202151</v>
      </c>
      <c r="M493" s="15">
        <f t="shared" si="15"/>
        <v>0</v>
      </c>
    </row>
    <row r="494" spans="11:13" x14ac:dyDescent="0.3">
      <c r="K494" s="198">
        <f>'DANNO AGGREGATO'!D495</f>
        <v>84884.047533831617</v>
      </c>
      <c r="L494" s="15">
        <f t="shared" si="14"/>
        <v>84884.047533831617</v>
      </c>
      <c r="M494" s="15">
        <f t="shared" si="15"/>
        <v>0</v>
      </c>
    </row>
    <row r="495" spans="11:13" x14ac:dyDescent="0.3">
      <c r="K495" s="198">
        <f>'DANNO AGGREGATO'!D496</f>
        <v>126620.1527720322</v>
      </c>
      <c r="L495" s="15">
        <f t="shared" si="14"/>
        <v>105034.34882660338</v>
      </c>
      <c r="M495" s="15">
        <f t="shared" si="15"/>
        <v>21585.803945428823</v>
      </c>
    </row>
    <row r="496" spans="11:13" x14ac:dyDescent="0.3">
      <c r="K496" s="198">
        <f>'DANNO AGGREGATO'!D497</f>
        <v>108277.94749290792</v>
      </c>
      <c r="L496" s="15">
        <f t="shared" si="14"/>
        <v>105034.34882660338</v>
      </c>
      <c r="M496" s="15">
        <f t="shared" si="15"/>
        <v>3243.5986663045333</v>
      </c>
    </row>
    <row r="497" spans="11:13" x14ac:dyDescent="0.3">
      <c r="K497" s="198">
        <f>'DANNO AGGREGATO'!D498</f>
        <v>89616.566163918498</v>
      </c>
      <c r="L497" s="15">
        <f t="shared" si="14"/>
        <v>89616.566163918498</v>
      </c>
      <c r="M497" s="15">
        <f t="shared" si="15"/>
        <v>0</v>
      </c>
    </row>
    <row r="498" spans="11:13" x14ac:dyDescent="0.3">
      <c r="K498" s="198">
        <f>'DANNO AGGREGATO'!D499</f>
        <v>94219.3163424917</v>
      </c>
      <c r="L498" s="15">
        <f t="shared" si="14"/>
        <v>94219.3163424917</v>
      </c>
      <c r="M498" s="15">
        <f t="shared" si="15"/>
        <v>0</v>
      </c>
    </row>
    <row r="499" spans="11:13" x14ac:dyDescent="0.3">
      <c r="K499" s="198">
        <f>'DANNO AGGREGATO'!D500</f>
        <v>99781.504114806026</v>
      </c>
      <c r="L499" s="15">
        <f t="shared" si="14"/>
        <v>99781.504114806026</v>
      </c>
      <c r="M499" s="15">
        <f t="shared" si="15"/>
        <v>0</v>
      </c>
    </row>
    <row r="500" spans="11:13" x14ac:dyDescent="0.3">
      <c r="K500" s="198">
        <f>'DANNO AGGREGATO'!D501</f>
        <v>93015.043033749345</v>
      </c>
      <c r="L500" s="15">
        <f t="shared" si="14"/>
        <v>93015.043033749345</v>
      </c>
      <c r="M500" s="15">
        <f t="shared" si="15"/>
        <v>0</v>
      </c>
    </row>
    <row r="501" spans="11:13" x14ac:dyDescent="0.3">
      <c r="K501" s="198">
        <f>'DANNO AGGREGATO'!D502</f>
        <v>106257.91952589896</v>
      </c>
      <c r="L501" s="15">
        <f t="shared" si="14"/>
        <v>105034.34882660338</v>
      </c>
      <c r="M501" s="15">
        <f t="shared" si="15"/>
        <v>1223.570699295582</v>
      </c>
    </row>
    <row r="502" spans="11:13" x14ac:dyDescent="0.3">
      <c r="K502" s="198">
        <f>'DANNO AGGREGATO'!D503</f>
        <v>103499.4785390031</v>
      </c>
      <c r="L502" s="15">
        <f t="shared" si="14"/>
        <v>103499.4785390031</v>
      </c>
      <c r="M502" s="15">
        <f t="shared" si="15"/>
        <v>0</v>
      </c>
    </row>
    <row r="503" spans="11:13" x14ac:dyDescent="0.3">
      <c r="K503" s="198">
        <f>'DANNO AGGREGATO'!D504</f>
        <v>116051.00448151035</v>
      </c>
      <c r="L503" s="15">
        <f t="shared" si="14"/>
        <v>105034.34882660338</v>
      </c>
      <c r="M503" s="15">
        <f t="shared" si="15"/>
        <v>11016.655654906965</v>
      </c>
    </row>
    <row r="504" spans="11:13" x14ac:dyDescent="0.3">
      <c r="K504" s="198">
        <f>'DANNO AGGREGATO'!D505</f>
        <v>74644.68205222275</v>
      </c>
      <c r="L504" s="15">
        <f t="shared" si="14"/>
        <v>74644.68205222275</v>
      </c>
      <c r="M504" s="15">
        <f t="shared" si="15"/>
        <v>0</v>
      </c>
    </row>
    <row r="505" spans="11:13" x14ac:dyDescent="0.3">
      <c r="K505" s="198">
        <f>'DANNO AGGREGATO'!D506</f>
        <v>104276.36390201221</v>
      </c>
      <c r="L505" s="15">
        <f t="shared" si="14"/>
        <v>104276.36390201221</v>
      </c>
      <c r="M505" s="15">
        <f t="shared" si="15"/>
        <v>0</v>
      </c>
    </row>
    <row r="506" spans="11:13" x14ac:dyDescent="0.3">
      <c r="K506" s="198">
        <f>'DANNO AGGREGATO'!D507</f>
        <v>109299.10559915396</v>
      </c>
      <c r="L506" s="15">
        <f t="shared" si="14"/>
        <v>105034.34882660338</v>
      </c>
      <c r="M506" s="15">
        <f t="shared" si="15"/>
        <v>4264.7567725505796</v>
      </c>
    </row>
    <row r="507" spans="11:13" x14ac:dyDescent="0.3">
      <c r="K507" s="198">
        <f>'DANNO AGGREGATO'!D508</f>
        <v>105563.578999398</v>
      </c>
      <c r="L507" s="15">
        <f t="shared" si="14"/>
        <v>105034.34882660338</v>
      </c>
      <c r="M507" s="15">
        <f t="shared" si="15"/>
        <v>529.23017279461783</v>
      </c>
    </row>
    <row r="508" spans="11:13" x14ac:dyDescent="0.3">
      <c r="K508" s="198">
        <f>'DANNO AGGREGATO'!D509</f>
        <v>101992.16500761572</v>
      </c>
      <c r="L508" s="15">
        <f t="shared" si="14"/>
        <v>101992.16500761572</v>
      </c>
      <c r="M508" s="15">
        <f t="shared" si="15"/>
        <v>0</v>
      </c>
    </row>
    <row r="509" spans="11:13" x14ac:dyDescent="0.3">
      <c r="K509" s="198">
        <f>'DANNO AGGREGATO'!D510</f>
        <v>93376.982655415835</v>
      </c>
      <c r="L509" s="15">
        <f t="shared" si="14"/>
        <v>93376.982655415835</v>
      </c>
      <c r="M509" s="15">
        <f t="shared" si="15"/>
        <v>0</v>
      </c>
    </row>
    <row r="510" spans="11:13" x14ac:dyDescent="0.3">
      <c r="K510" s="198">
        <f>'DANNO AGGREGATO'!D511</f>
        <v>63422.332093268851</v>
      </c>
      <c r="L510" s="15">
        <f t="shared" si="14"/>
        <v>63422.332093268851</v>
      </c>
      <c r="M510" s="15">
        <f t="shared" si="15"/>
        <v>0</v>
      </c>
    </row>
    <row r="511" spans="11:13" x14ac:dyDescent="0.3">
      <c r="K511" s="198">
        <f>'DANNO AGGREGATO'!D512</f>
        <v>86495.174173465479</v>
      </c>
      <c r="L511" s="15">
        <f t="shared" si="14"/>
        <v>86495.174173465479</v>
      </c>
      <c r="M511" s="15">
        <f t="shared" si="15"/>
        <v>0</v>
      </c>
    </row>
    <row r="512" spans="11:13" x14ac:dyDescent="0.3">
      <c r="K512" s="198">
        <f>'DANNO AGGREGATO'!D513</f>
        <v>68411.500071533985</v>
      </c>
      <c r="L512" s="15">
        <f t="shared" si="14"/>
        <v>68411.500071533985</v>
      </c>
      <c r="M512" s="15">
        <f t="shared" si="15"/>
        <v>0</v>
      </c>
    </row>
    <row r="513" spans="11:13" x14ac:dyDescent="0.3">
      <c r="K513" s="198">
        <f>'DANNO AGGREGATO'!D514</f>
        <v>104493.94820352268</v>
      </c>
      <c r="L513" s="15">
        <f t="shared" si="14"/>
        <v>104493.94820352268</v>
      </c>
      <c r="M513" s="15">
        <f t="shared" si="15"/>
        <v>0</v>
      </c>
    </row>
    <row r="514" spans="11:13" x14ac:dyDescent="0.3">
      <c r="K514" s="198">
        <f>'DANNO AGGREGATO'!D515</f>
        <v>111344.65540857207</v>
      </c>
      <c r="L514" s="15">
        <f t="shared" si="14"/>
        <v>105034.34882660338</v>
      </c>
      <c r="M514" s="15">
        <f t="shared" si="15"/>
        <v>6310.306581968689</v>
      </c>
    </row>
    <row r="515" spans="11:13" x14ac:dyDescent="0.3">
      <c r="K515" s="198">
        <f>'DANNO AGGREGATO'!D516</f>
        <v>91283.112772639201</v>
      </c>
      <c r="L515" s="15">
        <f t="shared" ref="L515:L578" si="16">IF(K515&lt;=$B$9,K515,$B$9)</f>
        <v>91283.112772639201</v>
      </c>
      <c r="M515" s="15">
        <f t="shared" ref="M515:M578" si="17">K515-L515</f>
        <v>0</v>
      </c>
    </row>
    <row r="516" spans="11:13" x14ac:dyDescent="0.3">
      <c r="K516" s="198">
        <f>'DANNO AGGREGATO'!D517</f>
        <v>70249.91764775927</v>
      </c>
      <c r="L516" s="15">
        <f t="shared" si="16"/>
        <v>70249.91764775927</v>
      </c>
      <c r="M516" s="15">
        <f t="shared" si="17"/>
        <v>0</v>
      </c>
    </row>
    <row r="517" spans="11:13" x14ac:dyDescent="0.3">
      <c r="K517" s="198">
        <f>'DANNO AGGREGATO'!D518</f>
        <v>107648.51470092958</v>
      </c>
      <c r="L517" s="15">
        <f t="shared" si="16"/>
        <v>105034.34882660338</v>
      </c>
      <c r="M517" s="15">
        <f t="shared" si="17"/>
        <v>2614.1658743261942</v>
      </c>
    </row>
    <row r="518" spans="11:13" x14ac:dyDescent="0.3">
      <c r="K518" s="198">
        <f>'DANNO AGGREGATO'!D519</f>
        <v>97537.053862237794</v>
      </c>
      <c r="L518" s="15">
        <f t="shared" si="16"/>
        <v>97537.053862237794</v>
      </c>
      <c r="M518" s="15">
        <f t="shared" si="17"/>
        <v>0</v>
      </c>
    </row>
    <row r="519" spans="11:13" x14ac:dyDescent="0.3">
      <c r="K519" s="198">
        <f>'DANNO AGGREGATO'!D520</f>
        <v>92300.887597374982</v>
      </c>
      <c r="L519" s="15">
        <f t="shared" si="16"/>
        <v>92300.887597374982</v>
      </c>
      <c r="M519" s="15">
        <f t="shared" si="17"/>
        <v>0</v>
      </c>
    </row>
    <row r="520" spans="11:13" x14ac:dyDescent="0.3">
      <c r="K520" s="198">
        <f>'DANNO AGGREGATO'!D521</f>
        <v>92760.638091140747</v>
      </c>
      <c r="L520" s="15">
        <f t="shared" si="16"/>
        <v>92760.638091140747</v>
      </c>
      <c r="M520" s="15">
        <f t="shared" si="17"/>
        <v>0</v>
      </c>
    </row>
    <row r="521" spans="11:13" x14ac:dyDescent="0.3">
      <c r="K521" s="198">
        <f>'DANNO AGGREGATO'!D522</f>
        <v>98475.731770284314</v>
      </c>
      <c r="L521" s="15">
        <f t="shared" si="16"/>
        <v>98475.731770284314</v>
      </c>
      <c r="M521" s="15">
        <f t="shared" si="17"/>
        <v>0</v>
      </c>
    </row>
    <row r="522" spans="11:13" x14ac:dyDescent="0.3">
      <c r="K522" s="198">
        <f>'DANNO AGGREGATO'!D523</f>
        <v>100721.65913541714</v>
      </c>
      <c r="L522" s="15">
        <f t="shared" si="16"/>
        <v>100721.65913541714</v>
      </c>
      <c r="M522" s="15">
        <f t="shared" si="17"/>
        <v>0</v>
      </c>
    </row>
    <row r="523" spans="11:13" x14ac:dyDescent="0.3">
      <c r="K523" s="198">
        <f>'DANNO AGGREGATO'!D524</f>
        <v>101498.21469089881</v>
      </c>
      <c r="L523" s="15">
        <f t="shared" si="16"/>
        <v>101498.21469089881</v>
      </c>
      <c r="M523" s="15">
        <f t="shared" si="17"/>
        <v>0</v>
      </c>
    </row>
    <row r="524" spans="11:13" x14ac:dyDescent="0.3">
      <c r="K524" s="198">
        <f>'DANNO AGGREGATO'!D525</f>
        <v>76736.531261636948</v>
      </c>
      <c r="L524" s="15">
        <f t="shared" si="16"/>
        <v>76736.531261636948</v>
      </c>
      <c r="M524" s="15">
        <f t="shared" si="17"/>
        <v>0</v>
      </c>
    </row>
    <row r="525" spans="11:13" x14ac:dyDescent="0.3">
      <c r="K525" s="198">
        <f>'DANNO AGGREGATO'!D526</f>
        <v>132023.4067987914</v>
      </c>
      <c r="L525" s="15">
        <f t="shared" si="16"/>
        <v>105034.34882660338</v>
      </c>
      <c r="M525" s="15">
        <f t="shared" si="17"/>
        <v>26989.05797218802</v>
      </c>
    </row>
    <row r="526" spans="11:13" x14ac:dyDescent="0.3">
      <c r="K526" s="198">
        <f>'DANNO AGGREGATO'!D527</f>
        <v>89695.118491625864</v>
      </c>
      <c r="L526" s="15">
        <f t="shared" si="16"/>
        <v>89695.118491625864</v>
      </c>
      <c r="M526" s="15">
        <f t="shared" si="17"/>
        <v>0</v>
      </c>
    </row>
    <row r="527" spans="11:13" x14ac:dyDescent="0.3">
      <c r="K527" s="198">
        <f>'DANNO AGGREGATO'!D528</f>
        <v>91282.728589254228</v>
      </c>
      <c r="L527" s="15">
        <f t="shared" si="16"/>
        <v>91282.728589254228</v>
      </c>
      <c r="M527" s="15">
        <f t="shared" si="17"/>
        <v>0</v>
      </c>
    </row>
    <row r="528" spans="11:13" x14ac:dyDescent="0.3">
      <c r="K528" s="198">
        <f>'DANNO AGGREGATO'!D529</f>
        <v>108830.35311768074</v>
      </c>
      <c r="L528" s="15">
        <f t="shared" si="16"/>
        <v>105034.34882660338</v>
      </c>
      <c r="M528" s="15">
        <f t="shared" si="17"/>
        <v>3796.0042910773627</v>
      </c>
    </row>
    <row r="529" spans="11:13" x14ac:dyDescent="0.3">
      <c r="K529" s="198">
        <f>'DANNO AGGREGATO'!D530</f>
        <v>98922.656433600714</v>
      </c>
      <c r="L529" s="15">
        <f t="shared" si="16"/>
        <v>98922.656433600714</v>
      </c>
      <c r="M529" s="15">
        <f t="shared" si="17"/>
        <v>0</v>
      </c>
    </row>
    <row r="530" spans="11:13" x14ac:dyDescent="0.3">
      <c r="K530" s="198">
        <f>'DANNO AGGREGATO'!D531</f>
        <v>79759.63293769375</v>
      </c>
      <c r="L530" s="15">
        <f t="shared" si="16"/>
        <v>79759.63293769375</v>
      </c>
      <c r="M530" s="15">
        <f t="shared" si="17"/>
        <v>0</v>
      </c>
    </row>
    <row r="531" spans="11:13" x14ac:dyDescent="0.3">
      <c r="K531" s="198">
        <f>'DANNO AGGREGATO'!D532</f>
        <v>115556.72179695861</v>
      </c>
      <c r="L531" s="15">
        <f t="shared" si="16"/>
        <v>105034.34882660338</v>
      </c>
      <c r="M531" s="15">
        <f t="shared" si="17"/>
        <v>10522.372970355224</v>
      </c>
    </row>
    <row r="532" spans="11:13" x14ac:dyDescent="0.3">
      <c r="K532" s="198">
        <f>'DANNO AGGREGATO'!D533</f>
        <v>115305.57886843268</v>
      </c>
      <c r="L532" s="15">
        <f t="shared" si="16"/>
        <v>105034.34882660338</v>
      </c>
      <c r="M532" s="15">
        <f t="shared" si="17"/>
        <v>10271.230041829302</v>
      </c>
    </row>
    <row r="533" spans="11:13" x14ac:dyDescent="0.3">
      <c r="K533" s="198">
        <f>'DANNO AGGREGATO'!D534</f>
        <v>99750.633990181072</v>
      </c>
      <c r="L533" s="15">
        <f t="shared" si="16"/>
        <v>99750.633990181072</v>
      </c>
      <c r="M533" s="15">
        <f t="shared" si="17"/>
        <v>0</v>
      </c>
    </row>
    <row r="534" spans="11:13" x14ac:dyDescent="0.3">
      <c r="K534" s="198">
        <f>'DANNO AGGREGATO'!D535</f>
        <v>91306.94623631725</v>
      </c>
      <c r="L534" s="15">
        <f t="shared" si="16"/>
        <v>91306.94623631725</v>
      </c>
      <c r="M534" s="15">
        <f t="shared" si="17"/>
        <v>0</v>
      </c>
    </row>
    <row r="535" spans="11:13" x14ac:dyDescent="0.3">
      <c r="K535" s="198">
        <f>'DANNO AGGREGATO'!D536</f>
        <v>72290.178268049203</v>
      </c>
      <c r="L535" s="15">
        <f t="shared" si="16"/>
        <v>72290.178268049203</v>
      </c>
      <c r="M535" s="15">
        <f t="shared" si="17"/>
        <v>0</v>
      </c>
    </row>
    <row r="536" spans="11:13" x14ac:dyDescent="0.3">
      <c r="K536" s="198">
        <f>'DANNO AGGREGATO'!D537</f>
        <v>96941.087841879344</v>
      </c>
      <c r="L536" s="15">
        <f t="shared" si="16"/>
        <v>96941.087841879344</v>
      </c>
      <c r="M536" s="15">
        <f t="shared" si="17"/>
        <v>0</v>
      </c>
    </row>
    <row r="537" spans="11:13" x14ac:dyDescent="0.3">
      <c r="K537" s="198">
        <f>'DANNO AGGREGATO'!D538</f>
        <v>76579.196603799181</v>
      </c>
      <c r="L537" s="15">
        <f t="shared" si="16"/>
        <v>76579.196603799181</v>
      </c>
      <c r="M537" s="15">
        <f t="shared" si="17"/>
        <v>0</v>
      </c>
    </row>
    <row r="538" spans="11:13" x14ac:dyDescent="0.3">
      <c r="K538" s="198">
        <f>'DANNO AGGREGATO'!D539</f>
        <v>100712.703359562</v>
      </c>
      <c r="L538" s="15">
        <f t="shared" si="16"/>
        <v>100712.703359562</v>
      </c>
      <c r="M538" s="15">
        <f t="shared" si="17"/>
        <v>0</v>
      </c>
    </row>
    <row r="539" spans="11:13" x14ac:dyDescent="0.3">
      <c r="K539" s="198">
        <f>'DANNO AGGREGATO'!D540</f>
        <v>91440.457278166112</v>
      </c>
      <c r="L539" s="15">
        <f t="shared" si="16"/>
        <v>91440.457278166112</v>
      </c>
      <c r="M539" s="15">
        <f t="shared" si="17"/>
        <v>0</v>
      </c>
    </row>
    <row r="540" spans="11:13" x14ac:dyDescent="0.3">
      <c r="K540" s="198">
        <f>'DANNO AGGREGATO'!D541</f>
        <v>105002.24254587399</v>
      </c>
      <c r="L540" s="15">
        <f t="shared" si="16"/>
        <v>105002.24254587399</v>
      </c>
      <c r="M540" s="15">
        <f t="shared" si="17"/>
        <v>0</v>
      </c>
    </row>
    <row r="541" spans="11:13" x14ac:dyDescent="0.3">
      <c r="K541" s="198">
        <f>'DANNO AGGREGATO'!D542</f>
        <v>112407.74530129501</v>
      </c>
      <c r="L541" s="15">
        <f t="shared" si="16"/>
        <v>105034.34882660338</v>
      </c>
      <c r="M541" s="15">
        <f t="shared" si="17"/>
        <v>7373.3964746916317</v>
      </c>
    </row>
    <row r="542" spans="11:13" x14ac:dyDescent="0.3">
      <c r="K542" s="198">
        <f>'DANNO AGGREGATO'!D543</f>
        <v>90125.258604947347</v>
      </c>
      <c r="L542" s="15">
        <f t="shared" si="16"/>
        <v>90125.258604947347</v>
      </c>
      <c r="M542" s="15">
        <f t="shared" si="17"/>
        <v>0</v>
      </c>
    </row>
    <row r="543" spans="11:13" x14ac:dyDescent="0.3">
      <c r="K543" s="198">
        <f>'DANNO AGGREGATO'!D544</f>
        <v>88171.981703877929</v>
      </c>
      <c r="L543" s="15">
        <f t="shared" si="16"/>
        <v>88171.981703877929</v>
      </c>
      <c r="M543" s="15">
        <f t="shared" si="17"/>
        <v>0</v>
      </c>
    </row>
    <row r="544" spans="11:13" x14ac:dyDescent="0.3">
      <c r="K544" s="198">
        <f>'DANNO AGGREGATO'!D545</f>
        <v>78606.856448816543</v>
      </c>
      <c r="L544" s="15">
        <f t="shared" si="16"/>
        <v>78606.856448816543</v>
      </c>
      <c r="M544" s="15">
        <f t="shared" si="17"/>
        <v>0</v>
      </c>
    </row>
    <row r="545" spans="11:13" x14ac:dyDescent="0.3">
      <c r="K545" s="198">
        <f>'DANNO AGGREGATO'!D546</f>
        <v>81669.345507046979</v>
      </c>
      <c r="L545" s="15">
        <f t="shared" si="16"/>
        <v>81669.345507046979</v>
      </c>
      <c r="M545" s="15">
        <f t="shared" si="17"/>
        <v>0</v>
      </c>
    </row>
    <row r="546" spans="11:13" x14ac:dyDescent="0.3">
      <c r="K546" s="198">
        <f>'DANNO AGGREGATO'!D547</f>
        <v>88926.351620646121</v>
      </c>
      <c r="L546" s="15">
        <f t="shared" si="16"/>
        <v>88926.351620646121</v>
      </c>
      <c r="M546" s="15">
        <f t="shared" si="17"/>
        <v>0</v>
      </c>
    </row>
    <row r="547" spans="11:13" x14ac:dyDescent="0.3">
      <c r="K547" s="198">
        <f>'DANNO AGGREGATO'!D548</f>
        <v>97743.629037675157</v>
      </c>
      <c r="L547" s="15">
        <f t="shared" si="16"/>
        <v>97743.629037675157</v>
      </c>
      <c r="M547" s="15">
        <f t="shared" si="17"/>
        <v>0</v>
      </c>
    </row>
    <row r="548" spans="11:13" x14ac:dyDescent="0.3">
      <c r="K548" s="198">
        <f>'DANNO AGGREGATO'!D549</f>
        <v>129840.13914634701</v>
      </c>
      <c r="L548" s="15">
        <f t="shared" si="16"/>
        <v>105034.34882660338</v>
      </c>
      <c r="M548" s="15">
        <f t="shared" si="17"/>
        <v>24805.790319743624</v>
      </c>
    </row>
    <row r="549" spans="11:13" x14ac:dyDescent="0.3">
      <c r="K549" s="198">
        <f>'DANNO AGGREGATO'!D550</f>
        <v>73419.223032678507</v>
      </c>
      <c r="L549" s="15">
        <f t="shared" si="16"/>
        <v>73419.223032678507</v>
      </c>
      <c r="M549" s="15">
        <f t="shared" si="17"/>
        <v>0</v>
      </c>
    </row>
    <row r="550" spans="11:13" x14ac:dyDescent="0.3">
      <c r="K550" s="198">
        <f>'DANNO AGGREGATO'!D551</f>
        <v>113661.70270645194</v>
      </c>
      <c r="L550" s="15">
        <f t="shared" si="16"/>
        <v>105034.34882660338</v>
      </c>
      <c r="M550" s="15">
        <f t="shared" si="17"/>
        <v>8627.3538798485533</v>
      </c>
    </row>
    <row r="551" spans="11:13" x14ac:dyDescent="0.3">
      <c r="K551" s="198">
        <f>'DANNO AGGREGATO'!D552</f>
        <v>115568.81045172055</v>
      </c>
      <c r="L551" s="15">
        <f t="shared" si="16"/>
        <v>105034.34882660338</v>
      </c>
      <c r="M551" s="15">
        <f t="shared" si="17"/>
        <v>10534.461625117168</v>
      </c>
    </row>
    <row r="552" spans="11:13" x14ac:dyDescent="0.3">
      <c r="K552" s="198">
        <f>'DANNO AGGREGATO'!D553</f>
        <v>74015.266310395207</v>
      </c>
      <c r="L552" s="15">
        <f t="shared" si="16"/>
        <v>74015.266310395207</v>
      </c>
      <c r="M552" s="15">
        <f t="shared" si="17"/>
        <v>0</v>
      </c>
    </row>
    <row r="553" spans="11:13" x14ac:dyDescent="0.3">
      <c r="K553" s="198">
        <f>'DANNO AGGREGATO'!D554</f>
        <v>91918.182102074148</v>
      </c>
      <c r="L553" s="15">
        <f t="shared" si="16"/>
        <v>91918.182102074148</v>
      </c>
      <c r="M553" s="15">
        <f t="shared" si="17"/>
        <v>0</v>
      </c>
    </row>
    <row r="554" spans="11:13" x14ac:dyDescent="0.3">
      <c r="K554" s="198">
        <f>'DANNO AGGREGATO'!D555</f>
        <v>79027.015246759664</v>
      </c>
      <c r="L554" s="15">
        <f t="shared" si="16"/>
        <v>79027.015246759664</v>
      </c>
      <c r="M554" s="15">
        <f t="shared" si="17"/>
        <v>0</v>
      </c>
    </row>
    <row r="555" spans="11:13" x14ac:dyDescent="0.3">
      <c r="K555" s="198">
        <f>'DANNO AGGREGATO'!D556</f>
        <v>99808.31658027794</v>
      </c>
      <c r="L555" s="15">
        <f t="shared" si="16"/>
        <v>99808.31658027794</v>
      </c>
      <c r="M555" s="15">
        <f t="shared" si="17"/>
        <v>0</v>
      </c>
    </row>
    <row r="556" spans="11:13" x14ac:dyDescent="0.3">
      <c r="K556" s="198">
        <f>'DANNO AGGREGATO'!D557</f>
        <v>109095.89463687091</v>
      </c>
      <c r="L556" s="15">
        <f t="shared" si="16"/>
        <v>105034.34882660338</v>
      </c>
      <c r="M556" s="15">
        <f t="shared" si="17"/>
        <v>4061.5458102675329</v>
      </c>
    </row>
    <row r="557" spans="11:13" x14ac:dyDescent="0.3">
      <c r="K557" s="198">
        <f>'DANNO AGGREGATO'!D558</f>
        <v>104543.84754786734</v>
      </c>
      <c r="L557" s="15">
        <f t="shared" si="16"/>
        <v>104543.84754786734</v>
      </c>
      <c r="M557" s="15">
        <f t="shared" si="17"/>
        <v>0</v>
      </c>
    </row>
    <row r="558" spans="11:13" x14ac:dyDescent="0.3">
      <c r="K558" s="198">
        <f>'DANNO AGGREGATO'!D559</f>
        <v>132236.58526561828</v>
      </c>
      <c r="L558" s="15">
        <f t="shared" si="16"/>
        <v>105034.34882660338</v>
      </c>
      <c r="M558" s="15">
        <f t="shared" si="17"/>
        <v>27202.236439014901</v>
      </c>
    </row>
    <row r="559" spans="11:13" x14ac:dyDescent="0.3">
      <c r="K559" s="198">
        <f>'DANNO AGGREGATO'!D560</f>
        <v>97128.897033477566</v>
      </c>
      <c r="L559" s="15">
        <f t="shared" si="16"/>
        <v>97128.897033477566</v>
      </c>
      <c r="M559" s="15">
        <f t="shared" si="17"/>
        <v>0</v>
      </c>
    </row>
    <row r="560" spans="11:13" x14ac:dyDescent="0.3">
      <c r="K560" s="198">
        <f>'DANNO AGGREGATO'!D561</f>
        <v>90926.288065231551</v>
      </c>
      <c r="L560" s="15">
        <f t="shared" si="16"/>
        <v>90926.288065231551</v>
      </c>
      <c r="M560" s="15">
        <f t="shared" si="17"/>
        <v>0</v>
      </c>
    </row>
    <row r="561" spans="11:13" x14ac:dyDescent="0.3">
      <c r="K561" s="198">
        <f>'DANNO AGGREGATO'!D562</f>
        <v>78792.978340325368</v>
      </c>
      <c r="L561" s="15">
        <f t="shared" si="16"/>
        <v>78792.978340325368</v>
      </c>
      <c r="M561" s="15">
        <f t="shared" si="17"/>
        <v>0</v>
      </c>
    </row>
    <row r="562" spans="11:13" x14ac:dyDescent="0.3">
      <c r="K562" s="198">
        <f>'DANNO AGGREGATO'!D563</f>
        <v>66092.192313324311</v>
      </c>
      <c r="L562" s="15">
        <f t="shared" si="16"/>
        <v>66092.192313324311</v>
      </c>
      <c r="M562" s="15">
        <f t="shared" si="17"/>
        <v>0</v>
      </c>
    </row>
    <row r="563" spans="11:13" x14ac:dyDescent="0.3">
      <c r="K563" s="198">
        <f>'DANNO AGGREGATO'!D564</f>
        <v>93778.856052971591</v>
      </c>
      <c r="L563" s="15">
        <f t="shared" si="16"/>
        <v>93778.856052971591</v>
      </c>
      <c r="M563" s="15">
        <f t="shared" si="17"/>
        <v>0</v>
      </c>
    </row>
    <row r="564" spans="11:13" x14ac:dyDescent="0.3">
      <c r="K564" s="198">
        <f>'DANNO AGGREGATO'!D565</f>
        <v>88361.614289200574</v>
      </c>
      <c r="L564" s="15">
        <f t="shared" si="16"/>
        <v>88361.614289200574</v>
      </c>
      <c r="M564" s="15">
        <f t="shared" si="17"/>
        <v>0</v>
      </c>
    </row>
    <row r="565" spans="11:13" x14ac:dyDescent="0.3">
      <c r="K565" s="198">
        <f>'DANNO AGGREGATO'!D566</f>
        <v>80018.148997042576</v>
      </c>
      <c r="L565" s="15">
        <f t="shared" si="16"/>
        <v>80018.148997042576</v>
      </c>
      <c r="M565" s="15">
        <f t="shared" si="17"/>
        <v>0</v>
      </c>
    </row>
    <row r="566" spans="11:13" x14ac:dyDescent="0.3">
      <c r="K566" s="198">
        <f>'DANNO AGGREGATO'!D567</f>
        <v>105046.95752184805</v>
      </c>
      <c r="L566" s="15">
        <f t="shared" si="16"/>
        <v>105034.34882660338</v>
      </c>
      <c r="M566" s="15">
        <f t="shared" si="17"/>
        <v>12.608695244663977</v>
      </c>
    </row>
    <row r="567" spans="11:13" x14ac:dyDescent="0.3">
      <c r="K567" s="198">
        <f>'DANNO AGGREGATO'!D568</f>
        <v>84274.021697471995</v>
      </c>
      <c r="L567" s="15">
        <f t="shared" si="16"/>
        <v>84274.021697471995</v>
      </c>
      <c r="M567" s="15">
        <f t="shared" si="17"/>
        <v>0</v>
      </c>
    </row>
    <row r="568" spans="11:13" x14ac:dyDescent="0.3">
      <c r="K568" s="198">
        <f>'DANNO AGGREGATO'!D569</f>
        <v>122912.27326918559</v>
      </c>
      <c r="L568" s="15">
        <f t="shared" si="16"/>
        <v>105034.34882660338</v>
      </c>
      <c r="M568" s="15">
        <f t="shared" si="17"/>
        <v>17877.924442582211</v>
      </c>
    </row>
    <row r="569" spans="11:13" x14ac:dyDescent="0.3">
      <c r="K569" s="198">
        <f>'DANNO AGGREGATO'!D570</f>
        <v>97941.712920950071</v>
      </c>
      <c r="L569" s="15">
        <f t="shared" si="16"/>
        <v>97941.712920950071</v>
      </c>
      <c r="M569" s="15">
        <f t="shared" si="17"/>
        <v>0</v>
      </c>
    </row>
    <row r="570" spans="11:13" x14ac:dyDescent="0.3">
      <c r="K570" s="198">
        <f>'DANNO AGGREGATO'!D571</f>
        <v>93437.54529326054</v>
      </c>
      <c r="L570" s="15">
        <f t="shared" si="16"/>
        <v>93437.54529326054</v>
      </c>
      <c r="M570" s="15">
        <f t="shared" si="17"/>
        <v>0</v>
      </c>
    </row>
    <row r="571" spans="11:13" x14ac:dyDescent="0.3">
      <c r="K571" s="198">
        <f>'DANNO AGGREGATO'!D572</f>
        <v>82686.529441870021</v>
      </c>
      <c r="L571" s="15">
        <f t="shared" si="16"/>
        <v>82686.529441870021</v>
      </c>
      <c r="M571" s="15">
        <f t="shared" si="17"/>
        <v>0</v>
      </c>
    </row>
    <row r="572" spans="11:13" x14ac:dyDescent="0.3">
      <c r="K572" s="198">
        <f>'DANNO AGGREGATO'!D573</f>
        <v>78745.488154443388</v>
      </c>
      <c r="L572" s="15">
        <f t="shared" si="16"/>
        <v>78745.488154443388</v>
      </c>
      <c r="M572" s="15">
        <f t="shared" si="17"/>
        <v>0</v>
      </c>
    </row>
    <row r="573" spans="11:13" x14ac:dyDescent="0.3">
      <c r="K573" s="198">
        <f>'DANNO AGGREGATO'!D574</f>
        <v>101972.4900024465</v>
      </c>
      <c r="L573" s="15">
        <f t="shared" si="16"/>
        <v>101972.4900024465</v>
      </c>
      <c r="M573" s="15">
        <f t="shared" si="17"/>
        <v>0</v>
      </c>
    </row>
    <row r="574" spans="11:13" x14ac:dyDescent="0.3">
      <c r="K574" s="198">
        <f>'DANNO AGGREGATO'!D575</f>
        <v>91120.329151162601</v>
      </c>
      <c r="L574" s="15">
        <f t="shared" si="16"/>
        <v>91120.329151162601</v>
      </c>
      <c r="M574" s="15">
        <f t="shared" si="17"/>
        <v>0</v>
      </c>
    </row>
    <row r="575" spans="11:13" x14ac:dyDescent="0.3">
      <c r="K575" s="198">
        <f>'DANNO AGGREGATO'!D576</f>
        <v>121467.18803764097</v>
      </c>
      <c r="L575" s="15">
        <f t="shared" si="16"/>
        <v>105034.34882660338</v>
      </c>
      <c r="M575" s="15">
        <f t="shared" si="17"/>
        <v>16432.839211037586</v>
      </c>
    </row>
    <row r="576" spans="11:13" x14ac:dyDescent="0.3">
      <c r="K576" s="198">
        <f>'DANNO AGGREGATO'!D577</f>
        <v>65062.099298980131</v>
      </c>
      <c r="L576" s="15">
        <f t="shared" si="16"/>
        <v>65062.099298980131</v>
      </c>
      <c r="M576" s="15">
        <f t="shared" si="17"/>
        <v>0</v>
      </c>
    </row>
    <row r="577" spans="11:13" x14ac:dyDescent="0.3">
      <c r="K577" s="198">
        <f>'DANNO AGGREGATO'!D578</f>
        <v>77551.387786180916</v>
      </c>
      <c r="L577" s="15">
        <f t="shared" si="16"/>
        <v>77551.387786180916</v>
      </c>
      <c r="M577" s="15">
        <f t="shared" si="17"/>
        <v>0</v>
      </c>
    </row>
    <row r="578" spans="11:13" x14ac:dyDescent="0.3">
      <c r="K578" s="198">
        <f>'DANNO AGGREGATO'!D579</f>
        <v>100415.35557450706</v>
      </c>
      <c r="L578" s="15">
        <f t="shared" si="16"/>
        <v>100415.35557450706</v>
      </c>
      <c r="M578" s="15">
        <f t="shared" si="17"/>
        <v>0</v>
      </c>
    </row>
    <row r="579" spans="11:13" x14ac:dyDescent="0.3">
      <c r="K579" s="198">
        <f>'DANNO AGGREGATO'!D580</f>
        <v>116392.12774292349</v>
      </c>
      <c r="L579" s="15">
        <f t="shared" ref="L579:L642" si="18">IF(K579&lt;=$B$9,K579,$B$9)</f>
        <v>105034.34882660338</v>
      </c>
      <c r="M579" s="15">
        <f t="shared" ref="M579:M642" si="19">K579-L579</f>
        <v>11357.778916320109</v>
      </c>
    </row>
    <row r="580" spans="11:13" x14ac:dyDescent="0.3">
      <c r="K580" s="198">
        <f>'DANNO AGGREGATO'!D581</f>
        <v>66354.681903230288</v>
      </c>
      <c r="L580" s="15">
        <f t="shared" si="18"/>
        <v>66354.681903230288</v>
      </c>
      <c r="M580" s="15">
        <f t="shared" si="19"/>
        <v>0</v>
      </c>
    </row>
    <row r="581" spans="11:13" x14ac:dyDescent="0.3">
      <c r="K581" s="198">
        <f>'DANNO AGGREGATO'!D582</f>
        <v>100531.17931901527</v>
      </c>
      <c r="L581" s="15">
        <f t="shared" si="18"/>
        <v>100531.17931901527</v>
      </c>
      <c r="M581" s="15">
        <f t="shared" si="19"/>
        <v>0</v>
      </c>
    </row>
    <row r="582" spans="11:13" x14ac:dyDescent="0.3">
      <c r="K582" s="198">
        <f>'DANNO AGGREGATO'!D583</f>
        <v>106500.53171989875</v>
      </c>
      <c r="L582" s="15">
        <f t="shared" si="18"/>
        <v>105034.34882660338</v>
      </c>
      <c r="M582" s="15">
        <f t="shared" si="19"/>
        <v>1466.1828932953649</v>
      </c>
    </row>
    <row r="583" spans="11:13" x14ac:dyDescent="0.3">
      <c r="K583" s="198">
        <f>'DANNO AGGREGATO'!D584</f>
        <v>84501.177967970711</v>
      </c>
      <c r="L583" s="15">
        <f t="shared" si="18"/>
        <v>84501.177967970711</v>
      </c>
      <c r="M583" s="15">
        <f t="shared" si="19"/>
        <v>0</v>
      </c>
    </row>
    <row r="584" spans="11:13" x14ac:dyDescent="0.3">
      <c r="K584" s="198">
        <f>'DANNO AGGREGATO'!D585</f>
        <v>92822.135279813447</v>
      </c>
      <c r="L584" s="15">
        <f t="shared" si="18"/>
        <v>92822.135279813447</v>
      </c>
      <c r="M584" s="15">
        <f t="shared" si="19"/>
        <v>0</v>
      </c>
    </row>
    <row r="585" spans="11:13" x14ac:dyDescent="0.3">
      <c r="K585" s="198">
        <f>'DANNO AGGREGATO'!D586</f>
        <v>124134.41551596567</v>
      </c>
      <c r="L585" s="15">
        <f t="shared" si="18"/>
        <v>105034.34882660338</v>
      </c>
      <c r="M585" s="15">
        <f t="shared" si="19"/>
        <v>19100.066689362284</v>
      </c>
    </row>
    <row r="586" spans="11:13" x14ac:dyDescent="0.3">
      <c r="K586" s="198">
        <f>'DANNO AGGREGATO'!D587</f>
        <v>124964.28979522592</v>
      </c>
      <c r="L586" s="15">
        <f t="shared" si="18"/>
        <v>105034.34882660338</v>
      </c>
      <c r="M586" s="15">
        <f t="shared" si="19"/>
        <v>19929.940968622541</v>
      </c>
    </row>
    <row r="587" spans="11:13" x14ac:dyDescent="0.3">
      <c r="K587" s="198">
        <f>'DANNO AGGREGATO'!D588</f>
        <v>130510.28144745817</v>
      </c>
      <c r="L587" s="15">
        <f t="shared" si="18"/>
        <v>105034.34882660338</v>
      </c>
      <c r="M587" s="15">
        <f t="shared" si="19"/>
        <v>25475.932620854786</v>
      </c>
    </row>
    <row r="588" spans="11:13" x14ac:dyDescent="0.3">
      <c r="K588" s="198">
        <f>'DANNO AGGREGATO'!D589</f>
        <v>91581.723662656019</v>
      </c>
      <c r="L588" s="15">
        <f t="shared" si="18"/>
        <v>91581.723662656019</v>
      </c>
      <c r="M588" s="15">
        <f t="shared" si="19"/>
        <v>0</v>
      </c>
    </row>
    <row r="589" spans="11:13" x14ac:dyDescent="0.3">
      <c r="K589" s="198">
        <f>'DANNO AGGREGATO'!D590</f>
        <v>73829.646008026815</v>
      </c>
      <c r="L589" s="15">
        <f t="shared" si="18"/>
        <v>73829.646008026815</v>
      </c>
      <c r="M589" s="15">
        <f t="shared" si="19"/>
        <v>0</v>
      </c>
    </row>
    <row r="590" spans="11:13" x14ac:dyDescent="0.3">
      <c r="K590" s="198">
        <f>'DANNO AGGREGATO'!D591</f>
        <v>88148.139905096948</v>
      </c>
      <c r="L590" s="15">
        <f t="shared" si="18"/>
        <v>88148.139905096948</v>
      </c>
      <c r="M590" s="15">
        <f t="shared" si="19"/>
        <v>0</v>
      </c>
    </row>
    <row r="591" spans="11:13" x14ac:dyDescent="0.3">
      <c r="K591" s="198">
        <f>'DANNO AGGREGATO'!D592</f>
        <v>86714.690091550379</v>
      </c>
      <c r="L591" s="15">
        <f t="shared" si="18"/>
        <v>86714.690091550379</v>
      </c>
      <c r="M591" s="15">
        <f t="shared" si="19"/>
        <v>0</v>
      </c>
    </row>
    <row r="592" spans="11:13" x14ac:dyDescent="0.3">
      <c r="K592" s="198">
        <f>'DANNO AGGREGATO'!D593</f>
        <v>101391.29726472881</v>
      </c>
      <c r="L592" s="15">
        <f t="shared" si="18"/>
        <v>101391.29726472881</v>
      </c>
      <c r="M592" s="15">
        <f t="shared" si="19"/>
        <v>0</v>
      </c>
    </row>
    <row r="593" spans="11:13" x14ac:dyDescent="0.3">
      <c r="K593" s="198">
        <f>'DANNO AGGREGATO'!D594</f>
        <v>75708.221710583166</v>
      </c>
      <c r="L593" s="15">
        <f t="shared" si="18"/>
        <v>75708.221710583166</v>
      </c>
      <c r="M593" s="15">
        <f t="shared" si="19"/>
        <v>0</v>
      </c>
    </row>
    <row r="594" spans="11:13" x14ac:dyDescent="0.3">
      <c r="K594" s="198">
        <f>'DANNO AGGREGATO'!D595</f>
        <v>61927.335045087966</v>
      </c>
      <c r="L594" s="15">
        <f t="shared" si="18"/>
        <v>61927.335045087966</v>
      </c>
      <c r="M594" s="15">
        <f t="shared" si="19"/>
        <v>0</v>
      </c>
    </row>
    <row r="595" spans="11:13" x14ac:dyDescent="0.3">
      <c r="K595" s="198">
        <f>'DANNO AGGREGATO'!D596</f>
        <v>85974.057598579791</v>
      </c>
      <c r="L595" s="15">
        <f t="shared" si="18"/>
        <v>85974.057598579791</v>
      </c>
      <c r="M595" s="15">
        <f t="shared" si="19"/>
        <v>0</v>
      </c>
    </row>
    <row r="596" spans="11:13" x14ac:dyDescent="0.3">
      <c r="K596" s="198">
        <f>'DANNO AGGREGATO'!D597</f>
        <v>105042.32715464209</v>
      </c>
      <c r="L596" s="15">
        <f t="shared" si="18"/>
        <v>105034.34882660338</v>
      </c>
      <c r="M596" s="15">
        <f t="shared" si="19"/>
        <v>7.9783280387055129</v>
      </c>
    </row>
    <row r="597" spans="11:13" x14ac:dyDescent="0.3">
      <c r="K597" s="198">
        <f>'DANNO AGGREGATO'!D598</f>
        <v>92717.742606302971</v>
      </c>
      <c r="L597" s="15">
        <f t="shared" si="18"/>
        <v>92717.742606302971</v>
      </c>
      <c r="M597" s="15">
        <f t="shared" si="19"/>
        <v>0</v>
      </c>
    </row>
    <row r="598" spans="11:13" x14ac:dyDescent="0.3">
      <c r="K598" s="198">
        <f>'DANNO AGGREGATO'!D599</f>
        <v>101810.40322199582</v>
      </c>
      <c r="L598" s="15">
        <f t="shared" si="18"/>
        <v>101810.40322199582</v>
      </c>
      <c r="M598" s="15">
        <f t="shared" si="19"/>
        <v>0</v>
      </c>
    </row>
    <row r="599" spans="11:13" x14ac:dyDescent="0.3">
      <c r="K599" s="198">
        <f>'DANNO AGGREGATO'!D600</f>
        <v>107214.30885199411</v>
      </c>
      <c r="L599" s="15">
        <f t="shared" si="18"/>
        <v>105034.34882660338</v>
      </c>
      <c r="M599" s="15">
        <f t="shared" si="19"/>
        <v>2179.9600253907265</v>
      </c>
    </row>
    <row r="600" spans="11:13" x14ac:dyDescent="0.3">
      <c r="K600" s="198">
        <f>'DANNO AGGREGATO'!D601</f>
        <v>95700.852551855322</v>
      </c>
      <c r="L600" s="15">
        <f t="shared" si="18"/>
        <v>95700.852551855322</v>
      </c>
      <c r="M600" s="15">
        <f t="shared" si="19"/>
        <v>0</v>
      </c>
    </row>
    <row r="601" spans="11:13" x14ac:dyDescent="0.3">
      <c r="K601" s="198">
        <f>'DANNO AGGREGATO'!D602</f>
        <v>94556.825545889369</v>
      </c>
      <c r="L601" s="15">
        <f t="shared" si="18"/>
        <v>94556.825545889369</v>
      </c>
      <c r="M601" s="15">
        <f t="shared" si="19"/>
        <v>0</v>
      </c>
    </row>
    <row r="602" spans="11:13" x14ac:dyDescent="0.3">
      <c r="K602" s="198">
        <f>'DANNO AGGREGATO'!D603</f>
        <v>88992.112945261892</v>
      </c>
      <c r="L602" s="15">
        <f t="shared" si="18"/>
        <v>88992.112945261892</v>
      </c>
      <c r="M602" s="15">
        <f t="shared" si="19"/>
        <v>0</v>
      </c>
    </row>
    <row r="603" spans="11:13" x14ac:dyDescent="0.3">
      <c r="K603" s="198">
        <f>'DANNO AGGREGATO'!D604</f>
        <v>116290.31631522374</v>
      </c>
      <c r="L603" s="15">
        <f t="shared" si="18"/>
        <v>105034.34882660338</v>
      </c>
      <c r="M603" s="15">
        <f t="shared" si="19"/>
        <v>11255.967488620357</v>
      </c>
    </row>
    <row r="604" spans="11:13" x14ac:dyDescent="0.3">
      <c r="K604" s="198">
        <f>'DANNO AGGREGATO'!D605</f>
        <v>84212.913206146943</v>
      </c>
      <c r="L604" s="15">
        <f t="shared" si="18"/>
        <v>84212.913206146943</v>
      </c>
      <c r="M604" s="15">
        <f t="shared" si="19"/>
        <v>0</v>
      </c>
    </row>
    <row r="605" spans="11:13" x14ac:dyDescent="0.3">
      <c r="K605" s="198">
        <f>'DANNO AGGREGATO'!D606</f>
        <v>86252.29131998602</v>
      </c>
      <c r="L605" s="15">
        <f t="shared" si="18"/>
        <v>86252.29131998602</v>
      </c>
      <c r="M605" s="15">
        <f t="shared" si="19"/>
        <v>0</v>
      </c>
    </row>
    <row r="606" spans="11:13" x14ac:dyDescent="0.3">
      <c r="K606" s="198">
        <f>'DANNO AGGREGATO'!D607</f>
        <v>75299.454334323687</v>
      </c>
      <c r="L606" s="15">
        <f t="shared" si="18"/>
        <v>75299.454334323687</v>
      </c>
      <c r="M606" s="15">
        <f t="shared" si="19"/>
        <v>0</v>
      </c>
    </row>
    <row r="607" spans="11:13" x14ac:dyDescent="0.3">
      <c r="K607" s="198">
        <f>'DANNO AGGREGATO'!D608</f>
        <v>95370.13382147238</v>
      </c>
      <c r="L607" s="15">
        <f t="shared" si="18"/>
        <v>95370.13382147238</v>
      </c>
      <c r="M607" s="15">
        <f t="shared" si="19"/>
        <v>0</v>
      </c>
    </row>
    <row r="608" spans="11:13" x14ac:dyDescent="0.3">
      <c r="K608" s="198">
        <f>'DANNO AGGREGATO'!D609</f>
        <v>75341.136187957469</v>
      </c>
      <c r="L608" s="15">
        <f t="shared" si="18"/>
        <v>75341.136187957469</v>
      </c>
      <c r="M608" s="15">
        <f t="shared" si="19"/>
        <v>0</v>
      </c>
    </row>
    <row r="609" spans="11:13" x14ac:dyDescent="0.3">
      <c r="K609" s="198">
        <f>'DANNO AGGREGATO'!D610</f>
        <v>114804.42496387244</v>
      </c>
      <c r="L609" s="15">
        <f t="shared" si="18"/>
        <v>105034.34882660338</v>
      </c>
      <c r="M609" s="15">
        <f t="shared" si="19"/>
        <v>9770.0761372690613</v>
      </c>
    </row>
    <row r="610" spans="11:13" x14ac:dyDescent="0.3">
      <c r="K610" s="198">
        <f>'DANNO AGGREGATO'!D611</f>
        <v>88719.613540894439</v>
      </c>
      <c r="L610" s="15">
        <f t="shared" si="18"/>
        <v>88719.613540894439</v>
      </c>
      <c r="M610" s="15">
        <f t="shared" si="19"/>
        <v>0</v>
      </c>
    </row>
    <row r="611" spans="11:13" x14ac:dyDescent="0.3">
      <c r="K611" s="198">
        <f>'DANNO AGGREGATO'!D612</f>
        <v>98356.097946970767</v>
      </c>
      <c r="L611" s="15">
        <f t="shared" si="18"/>
        <v>98356.097946970767</v>
      </c>
      <c r="M611" s="15">
        <f t="shared" si="19"/>
        <v>0</v>
      </c>
    </row>
    <row r="612" spans="11:13" x14ac:dyDescent="0.3">
      <c r="K612" s="198">
        <f>'DANNO AGGREGATO'!D613</f>
        <v>82354.022580411212</v>
      </c>
      <c r="L612" s="15">
        <f t="shared" si="18"/>
        <v>82354.022580411212</v>
      </c>
      <c r="M612" s="15">
        <f t="shared" si="19"/>
        <v>0</v>
      </c>
    </row>
    <row r="613" spans="11:13" x14ac:dyDescent="0.3">
      <c r="K613" s="198">
        <f>'DANNO AGGREGATO'!D614</f>
        <v>78777.060428490106</v>
      </c>
      <c r="L613" s="15">
        <f t="shared" si="18"/>
        <v>78777.060428490106</v>
      </c>
      <c r="M613" s="15">
        <f t="shared" si="19"/>
        <v>0</v>
      </c>
    </row>
    <row r="614" spans="11:13" x14ac:dyDescent="0.3">
      <c r="K614" s="198">
        <f>'DANNO AGGREGATO'!D615</f>
        <v>95180.320225804622</v>
      </c>
      <c r="L614" s="15">
        <f t="shared" si="18"/>
        <v>95180.320225804622</v>
      </c>
      <c r="M614" s="15">
        <f t="shared" si="19"/>
        <v>0</v>
      </c>
    </row>
    <row r="615" spans="11:13" x14ac:dyDescent="0.3">
      <c r="K615" s="198">
        <f>'DANNO AGGREGATO'!D616</f>
        <v>100135.33451185803</v>
      </c>
      <c r="L615" s="15">
        <f t="shared" si="18"/>
        <v>100135.33451185803</v>
      </c>
      <c r="M615" s="15">
        <f t="shared" si="19"/>
        <v>0</v>
      </c>
    </row>
    <row r="616" spans="11:13" x14ac:dyDescent="0.3">
      <c r="K616" s="198">
        <f>'DANNO AGGREGATO'!D617</f>
        <v>85642.72762731745</v>
      </c>
      <c r="L616" s="15">
        <f t="shared" si="18"/>
        <v>85642.72762731745</v>
      </c>
      <c r="M616" s="15">
        <f t="shared" si="19"/>
        <v>0</v>
      </c>
    </row>
    <row r="617" spans="11:13" x14ac:dyDescent="0.3">
      <c r="K617" s="198">
        <f>'DANNO AGGREGATO'!D618</f>
        <v>106544.75716026363</v>
      </c>
      <c r="L617" s="15">
        <f t="shared" si="18"/>
        <v>105034.34882660338</v>
      </c>
      <c r="M617" s="15">
        <f t="shared" si="19"/>
        <v>1510.4083336602489</v>
      </c>
    </row>
    <row r="618" spans="11:13" x14ac:dyDescent="0.3">
      <c r="K618" s="198">
        <f>'DANNO AGGREGATO'!D619</f>
        <v>72576.216707172003</v>
      </c>
      <c r="L618" s="15">
        <f t="shared" si="18"/>
        <v>72576.216707172003</v>
      </c>
      <c r="M618" s="15">
        <f t="shared" si="19"/>
        <v>0</v>
      </c>
    </row>
    <row r="619" spans="11:13" x14ac:dyDescent="0.3">
      <c r="K619" s="198">
        <f>'DANNO AGGREGATO'!D620</f>
        <v>98057.261780893896</v>
      </c>
      <c r="L619" s="15">
        <f t="shared" si="18"/>
        <v>98057.261780893896</v>
      </c>
      <c r="M619" s="15">
        <f t="shared" si="19"/>
        <v>0</v>
      </c>
    </row>
    <row r="620" spans="11:13" x14ac:dyDescent="0.3">
      <c r="K620" s="198">
        <f>'DANNO AGGREGATO'!D621</f>
        <v>81490.011653755617</v>
      </c>
      <c r="L620" s="15">
        <f t="shared" si="18"/>
        <v>81490.011653755617</v>
      </c>
      <c r="M620" s="15">
        <f t="shared" si="19"/>
        <v>0</v>
      </c>
    </row>
    <row r="621" spans="11:13" x14ac:dyDescent="0.3">
      <c r="K621" s="198">
        <f>'DANNO AGGREGATO'!D622</f>
        <v>123901.47623114896</v>
      </c>
      <c r="L621" s="15">
        <f t="shared" si="18"/>
        <v>105034.34882660338</v>
      </c>
      <c r="M621" s="15">
        <f t="shared" si="19"/>
        <v>18867.127404545579</v>
      </c>
    </row>
    <row r="622" spans="11:13" x14ac:dyDescent="0.3">
      <c r="K622" s="198">
        <f>'DANNO AGGREGATO'!D623</f>
        <v>99833.43961258755</v>
      </c>
      <c r="L622" s="15">
        <f t="shared" si="18"/>
        <v>99833.43961258755</v>
      </c>
      <c r="M622" s="15">
        <f t="shared" si="19"/>
        <v>0</v>
      </c>
    </row>
    <row r="623" spans="11:13" x14ac:dyDescent="0.3">
      <c r="K623" s="198">
        <f>'DANNO AGGREGATO'!D624</f>
        <v>109140.82353901396</v>
      </c>
      <c r="L623" s="15">
        <f t="shared" si="18"/>
        <v>105034.34882660338</v>
      </c>
      <c r="M623" s="15">
        <f t="shared" si="19"/>
        <v>4106.4747124105779</v>
      </c>
    </row>
    <row r="624" spans="11:13" x14ac:dyDescent="0.3">
      <c r="K624" s="198">
        <f>'DANNO AGGREGATO'!D625</f>
        <v>69228.727920040852</v>
      </c>
      <c r="L624" s="15">
        <f t="shared" si="18"/>
        <v>69228.727920040852</v>
      </c>
      <c r="M624" s="15">
        <f t="shared" si="19"/>
        <v>0</v>
      </c>
    </row>
    <row r="625" spans="11:13" x14ac:dyDescent="0.3">
      <c r="K625" s="198">
        <f>'DANNO AGGREGATO'!D626</f>
        <v>75783.251948498</v>
      </c>
      <c r="L625" s="15">
        <f t="shared" si="18"/>
        <v>75783.251948498</v>
      </c>
      <c r="M625" s="15">
        <f t="shared" si="19"/>
        <v>0</v>
      </c>
    </row>
    <row r="626" spans="11:13" x14ac:dyDescent="0.3">
      <c r="K626" s="198">
        <f>'DANNO AGGREGATO'!D627</f>
        <v>83509.498724517194</v>
      </c>
      <c r="L626" s="15">
        <f t="shared" si="18"/>
        <v>83509.498724517194</v>
      </c>
      <c r="M626" s="15">
        <f t="shared" si="19"/>
        <v>0</v>
      </c>
    </row>
    <row r="627" spans="11:13" x14ac:dyDescent="0.3">
      <c r="K627" s="198">
        <f>'DANNO AGGREGATO'!D628</f>
        <v>83735.538742514196</v>
      </c>
      <c r="L627" s="15">
        <f t="shared" si="18"/>
        <v>83735.538742514196</v>
      </c>
      <c r="M627" s="15">
        <f t="shared" si="19"/>
        <v>0</v>
      </c>
    </row>
    <row r="628" spans="11:13" x14ac:dyDescent="0.3">
      <c r="K628" s="198">
        <f>'DANNO AGGREGATO'!D629</f>
        <v>97276.843918008584</v>
      </c>
      <c r="L628" s="15">
        <f t="shared" si="18"/>
        <v>97276.843918008584</v>
      </c>
      <c r="M628" s="15">
        <f t="shared" si="19"/>
        <v>0</v>
      </c>
    </row>
    <row r="629" spans="11:13" x14ac:dyDescent="0.3">
      <c r="K629" s="198">
        <f>'DANNO AGGREGATO'!D630</f>
        <v>113891.63109582022</v>
      </c>
      <c r="L629" s="15">
        <f t="shared" si="18"/>
        <v>105034.34882660338</v>
      </c>
      <c r="M629" s="15">
        <f t="shared" si="19"/>
        <v>8857.2822692168411</v>
      </c>
    </row>
    <row r="630" spans="11:13" x14ac:dyDescent="0.3">
      <c r="K630" s="198">
        <f>'DANNO AGGREGATO'!D631</f>
        <v>120851.69890424308</v>
      </c>
      <c r="L630" s="15">
        <f t="shared" si="18"/>
        <v>105034.34882660338</v>
      </c>
      <c r="M630" s="15">
        <f t="shared" si="19"/>
        <v>15817.350077639698</v>
      </c>
    </row>
    <row r="631" spans="11:13" x14ac:dyDescent="0.3">
      <c r="K631" s="198">
        <f>'DANNO AGGREGATO'!D632</f>
        <v>120301.46742680615</v>
      </c>
      <c r="L631" s="15">
        <f t="shared" si="18"/>
        <v>105034.34882660338</v>
      </c>
      <c r="M631" s="15">
        <f t="shared" si="19"/>
        <v>15267.118600202768</v>
      </c>
    </row>
    <row r="632" spans="11:13" x14ac:dyDescent="0.3">
      <c r="K632" s="198">
        <f>'DANNO AGGREGATO'!D633</f>
        <v>100859.01936191703</v>
      </c>
      <c r="L632" s="15">
        <f t="shared" si="18"/>
        <v>100859.01936191703</v>
      </c>
      <c r="M632" s="15">
        <f t="shared" si="19"/>
        <v>0</v>
      </c>
    </row>
    <row r="633" spans="11:13" x14ac:dyDescent="0.3">
      <c r="K633" s="198">
        <f>'DANNO AGGREGATO'!D634</f>
        <v>106769.02212235396</v>
      </c>
      <c r="L633" s="15">
        <f t="shared" si="18"/>
        <v>105034.34882660338</v>
      </c>
      <c r="M633" s="15">
        <f t="shared" si="19"/>
        <v>1734.6732957505737</v>
      </c>
    </row>
    <row r="634" spans="11:13" x14ac:dyDescent="0.3">
      <c r="K634" s="198">
        <f>'DANNO AGGREGATO'!D635</f>
        <v>110198.63756166995</v>
      </c>
      <c r="L634" s="15">
        <f t="shared" si="18"/>
        <v>105034.34882660338</v>
      </c>
      <c r="M634" s="15">
        <f t="shared" si="19"/>
        <v>5164.2887350665696</v>
      </c>
    </row>
    <row r="635" spans="11:13" x14ac:dyDescent="0.3">
      <c r="K635" s="198">
        <f>'DANNO AGGREGATO'!D636</f>
        <v>94949.021977751894</v>
      </c>
      <c r="L635" s="15">
        <f t="shared" si="18"/>
        <v>94949.021977751894</v>
      </c>
      <c r="M635" s="15">
        <f t="shared" si="19"/>
        <v>0</v>
      </c>
    </row>
    <row r="636" spans="11:13" x14ac:dyDescent="0.3">
      <c r="K636" s="198">
        <f>'DANNO AGGREGATO'!D637</f>
        <v>73667.288956179531</v>
      </c>
      <c r="L636" s="15">
        <f t="shared" si="18"/>
        <v>73667.288956179531</v>
      </c>
      <c r="M636" s="15">
        <f t="shared" si="19"/>
        <v>0</v>
      </c>
    </row>
    <row r="637" spans="11:13" x14ac:dyDescent="0.3">
      <c r="K637" s="198">
        <f>'DANNO AGGREGATO'!D638</f>
        <v>100392.39202704724</v>
      </c>
      <c r="L637" s="15">
        <f t="shared" si="18"/>
        <v>100392.39202704724</v>
      </c>
      <c r="M637" s="15">
        <f t="shared" si="19"/>
        <v>0</v>
      </c>
    </row>
    <row r="638" spans="11:13" x14ac:dyDescent="0.3">
      <c r="K638" s="198">
        <f>'DANNO AGGREGATO'!D639</f>
        <v>85414.044613656064</v>
      </c>
      <c r="L638" s="15">
        <f t="shared" si="18"/>
        <v>85414.044613656064</v>
      </c>
      <c r="M638" s="15">
        <f t="shared" si="19"/>
        <v>0</v>
      </c>
    </row>
    <row r="639" spans="11:13" x14ac:dyDescent="0.3">
      <c r="K639" s="198">
        <f>'DANNO AGGREGATO'!D640</f>
        <v>79555.220248250029</v>
      </c>
      <c r="L639" s="15">
        <f t="shared" si="18"/>
        <v>79555.220248250029</v>
      </c>
      <c r="M639" s="15">
        <f t="shared" si="19"/>
        <v>0</v>
      </c>
    </row>
    <row r="640" spans="11:13" x14ac:dyDescent="0.3">
      <c r="K640" s="198">
        <f>'DANNO AGGREGATO'!D641</f>
        <v>99549.714574336846</v>
      </c>
      <c r="L640" s="15">
        <f t="shared" si="18"/>
        <v>99549.714574336846</v>
      </c>
      <c r="M640" s="15">
        <f t="shared" si="19"/>
        <v>0</v>
      </c>
    </row>
    <row r="641" spans="11:13" x14ac:dyDescent="0.3">
      <c r="K641" s="198">
        <f>'DANNO AGGREGATO'!D642</f>
        <v>119312.93352370567</v>
      </c>
      <c r="L641" s="15">
        <f t="shared" si="18"/>
        <v>105034.34882660338</v>
      </c>
      <c r="M641" s="15">
        <f t="shared" si="19"/>
        <v>14278.584697102284</v>
      </c>
    </row>
    <row r="642" spans="11:13" x14ac:dyDescent="0.3">
      <c r="K642" s="198">
        <f>'DANNO AGGREGATO'!D643</f>
        <v>122842.06102659932</v>
      </c>
      <c r="L642" s="15">
        <f t="shared" si="18"/>
        <v>105034.34882660338</v>
      </c>
      <c r="M642" s="15">
        <f t="shared" si="19"/>
        <v>17807.712199995934</v>
      </c>
    </row>
    <row r="643" spans="11:13" x14ac:dyDescent="0.3">
      <c r="K643" s="198">
        <f>'DANNO AGGREGATO'!D644</f>
        <v>95788.021398730198</v>
      </c>
      <c r="L643" s="15">
        <f t="shared" ref="L643:L706" si="20">IF(K643&lt;=$B$9,K643,$B$9)</f>
        <v>95788.021398730198</v>
      </c>
      <c r="M643" s="15">
        <f t="shared" ref="M643:M706" si="21">K643-L643</f>
        <v>0</v>
      </c>
    </row>
    <row r="644" spans="11:13" x14ac:dyDescent="0.3">
      <c r="K644" s="198">
        <f>'DANNO AGGREGATO'!D645</f>
        <v>94693.293962317504</v>
      </c>
      <c r="L644" s="15">
        <f t="shared" si="20"/>
        <v>94693.293962317504</v>
      </c>
      <c r="M644" s="15">
        <f t="shared" si="21"/>
        <v>0</v>
      </c>
    </row>
    <row r="645" spans="11:13" x14ac:dyDescent="0.3">
      <c r="K645" s="198">
        <f>'DANNO AGGREGATO'!D646</f>
        <v>86181.332237071838</v>
      </c>
      <c r="L645" s="15">
        <f t="shared" si="20"/>
        <v>86181.332237071838</v>
      </c>
      <c r="M645" s="15">
        <f t="shared" si="21"/>
        <v>0</v>
      </c>
    </row>
    <row r="646" spans="11:13" x14ac:dyDescent="0.3">
      <c r="K646" s="198">
        <f>'DANNO AGGREGATO'!D647</f>
        <v>91643.410594830217</v>
      </c>
      <c r="L646" s="15">
        <f t="shared" si="20"/>
        <v>91643.410594830217</v>
      </c>
      <c r="M646" s="15">
        <f t="shared" si="21"/>
        <v>0</v>
      </c>
    </row>
    <row r="647" spans="11:13" x14ac:dyDescent="0.3">
      <c r="K647" s="198">
        <f>'DANNO AGGREGATO'!D648</f>
        <v>87227.188066239789</v>
      </c>
      <c r="L647" s="15">
        <f t="shared" si="20"/>
        <v>87227.188066239789</v>
      </c>
      <c r="M647" s="15">
        <f t="shared" si="21"/>
        <v>0</v>
      </c>
    </row>
    <row r="648" spans="11:13" x14ac:dyDescent="0.3">
      <c r="K648" s="198">
        <f>'DANNO AGGREGATO'!D649</f>
        <v>89808.213847887717</v>
      </c>
      <c r="L648" s="15">
        <f t="shared" si="20"/>
        <v>89808.213847887717</v>
      </c>
      <c r="M648" s="15">
        <f t="shared" si="21"/>
        <v>0</v>
      </c>
    </row>
    <row r="649" spans="11:13" x14ac:dyDescent="0.3">
      <c r="K649" s="198">
        <f>'DANNO AGGREGATO'!D650</f>
        <v>128221.79391020918</v>
      </c>
      <c r="L649" s="15">
        <f t="shared" si="20"/>
        <v>105034.34882660338</v>
      </c>
      <c r="M649" s="15">
        <f t="shared" si="21"/>
        <v>23187.445083605795</v>
      </c>
    </row>
    <row r="650" spans="11:13" x14ac:dyDescent="0.3">
      <c r="K650" s="198">
        <f>'DANNO AGGREGATO'!D651</f>
        <v>95756.84200757221</v>
      </c>
      <c r="L650" s="15">
        <f t="shared" si="20"/>
        <v>95756.84200757221</v>
      </c>
      <c r="M650" s="15">
        <f t="shared" si="21"/>
        <v>0</v>
      </c>
    </row>
    <row r="651" spans="11:13" x14ac:dyDescent="0.3">
      <c r="K651" s="198">
        <f>'DANNO AGGREGATO'!D652</f>
        <v>97436.593061951295</v>
      </c>
      <c r="L651" s="15">
        <f t="shared" si="20"/>
        <v>97436.593061951295</v>
      </c>
      <c r="M651" s="15">
        <f t="shared" si="21"/>
        <v>0</v>
      </c>
    </row>
    <row r="652" spans="11:13" x14ac:dyDescent="0.3">
      <c r="K652" s="198">
        <f>'DANNO AGGREGATO'!D653</f>
        <v>78265.183032202069</v>
      </c>
      <c r="L652" s="15">
        <f t="shared" si="20"/>
        <v>78265.183032202069</v>
      </c>
      <c r="M652" s="15">
        <f t="shared" si="21"/>
        <v>0</v>
      </c>
    </row>
    <row r="653" spans="11:13" x14ac:dyDescent="0.3">
      <c r="K653" s="198">
        <f>'DANNO AGGREGATO'!D654</f>
        <v>106560.18515424285</v>
      </c>
      <c r="L653" s="15">
        <f t="shared" si="20"/>
        <v>105034.34882660338</v>
      </c>
      <c r="M653" s="15">
        <f t="shared" si="21"/>
        <v>1525.8363276394666</v>
      </c>
    </row>
    <row r="654" spans="11:13" x14ac:dyDescent="0.3">
      <c r="K654" s="198">
        <f>'DANNO AGGREGATO'!D655</f>
        <v>116825.12120943406</v>
      </c>
      <c r="L654" s="15">
        <f t="shared" si="20"/>
        <v>105034.34882660338</v>
      </c>
      <c r="M654" s="15">
        <f t="shared" si="21"/>
        <v>11790.772382830677</v>
      </c>
    </row>
    <row r="655" spans="11:13" x14ac:dyDescent="0.3">
      <c r="K655" s="198">
        <f>'DANNO AGGREGATO'!D656</f>
        <v>97056.073820496298</v>
      </c>
      <c r="L655" s="15">
        <f t="shared" si="20"/>
        <v>97056.073820496298</v>
      </c>
      <c r="M655" s="15">
        <f t="shared" si="21"/>
        <v>0</v>
      </c>
    </row>
    <row r="656" spans="11:13" x14ac:dyDescent="0.3">
      <c r="K656" s="198">
        <f>'DANNO AGGREGATO'!D657</f>
        <v>77303.239827474172</v>
      </c>
      <c r="L656" s="15">
        <f t="shared" si="20"/>
        <v>77303.239827474172</v>
      </c>
      <c r="M656" s="15">
        <f t="shared" si="21"/>
        <v>0</v>
      </c>
    </row>
    <row r="657" spans="11:13" x14ac:dyDescent="0.3">
      <c r="K657" s="198">
        <f>'DANNO AGGREGATO'!D658</f>
        <v>66924.395630449653</v>
      </c>
      <c r="L657" s="15">
        <f t="shared" si="20"/>
        <v>66924.395630449653</v>
      </c>
      <c r="M657" s="15">
        <f t="shared" si="21"/>
        <v>0</v>
      </c>
    </row>
    <row r="658" spans="11:13" x14ac:dyDescent="0.3">
      <c r="K658" s="198">
        <f>'DANNO AGGREGATO'!D659</f>
        <v>83162.820649791567</v>
      </c>
      <c r="L658" s="15">
        <f t="shared" si="20"/>
        <v>83162.820649791567</v>
      </c>
      <c r="M658" s="15">
        <f t="shared" si="21"/>
        <v>0</v>
      </c>
    </row>
    <row r="659" spans="11:13" x14ac:dyDescent="0.3">
      <c r="K659" s="198">
        <f>'DANNO AGGREGATO'!D660</f>
        <v>89437.947263101232</v>
      </c>
      <c r="L659" s="15">
        <f t="shared" si="20"/>
        <v>89437.947263101232</v>
      </c>
      <c r="M659" s="15">
        <f t="shared" si="21"/>
        <v>0</v>
      </c>
    </row>
    <row r="660" spans="11:13" x14ac:dyDescent="0.3">
      <c r="K660" s="198">
        <f>'DANNO AGGREGATO'!D661</f>
        <v>90057.013175959379</v>
      </c>
      <c r="L660" s="15">
        <f t="shared" si="20"/>
        <v>90057.013175959379</v>
      </c>
      <c r="M660" s="15">
        <f t="shared" si="21"/>
        <v>0</v>
      </c>
    </row>
    <row r="661" spans="11:13" x14ac:dyDescent="0.3">
      <c r="K661" s="198">
        <f>'DANNO AGGREGATO'!D662</f>
        <v>107545.9970135912</v>
      </c>
      <c r="L661" s="15">
        <f t="shared" si="20"/>
        <v>105034.34882660338</v>
      </c>
      <c r="M661" s="15">
        <f t="shared" si="21"/>
        <v>2511.6481869878189</v>
      </c>
    </row>
    <row r="662" spans="11:13" x14ac:dyDescent="0.3">
      <c r="K662" s="198">
        <f>'DANNO AGGREGATO'!D663</f>
        <v>72889.440208024243</v>
      </c>
      <c r="L662" s="15">
        <f t="shared" si="20"/>
        <v>72889.440208024243</v>
      </c>
      <c r="M662" s="15">
        <f t="shared" si="21"/>
        <v>0</v>
      </c>
    </row>
    <row r="663" spans="11:13" x14ac:dyDescent="0.3">
      <c r="K663" s="198">
        <f>'DANNO AGGREGATO'!D664</f>
        <v>124458.50834635035</v>
      </c>
      <c r="L663" s="15">
        <f t="shared" si="20"/>
        <v>105034.34882660338</v>
      </c>
      <c r="M663" s="15">
        <f t="shared" si="21"/>
        <v>19424.159519746972</v>
      </c>
    </row>
    <row r="664" spans="11:13" x14ac:dyDescent="0.3">
      <c r="K664" s="198">
        <f>'DANNO AGGREGATO'!D665</f>
        <v>99419.666849926085</v>
      </c>
      <c r="L664" s="15">
        <f t="shared" si="20"/>
        <v>99419.666849926085</v>
      </c>
      <c r="M664" s="15">
        <f t="shared" si="21"/>
        <v>0</v>
      </c>
    </row>
    <row r="665" spans="11:13" x14ac:dyDescent="0.3">
      <c r="K665" s="198">
        <f>'DANNO AGGREGATO'!D666</f>
        <v>102927.18694270935</v>
      </c>
      <c r="L665" s="15">
        <f t="shared" si="20"/>
        <v>102927.18694270935</v>
      </c>
      <c r="M665" s="15">
        <f t="shared" si="21"/>
        <v>0</v>
      </c>
    </row>
    <row r="666" spans="11:13" x14ac:dyDescent="0.3">
      <c r="K666" s="198">
        <f>'DANNO AGGREGATO'!D667</f>
        <v>108968.12140041555</v>
      </c>
      <c r="L666" s="15">
        <f t="shared" si="20"/>
        <v>105034.34882660338</v>
      </c>
      <c r="M666" s="15">
        <f t="shared" si="21"/>
        <v>3933.7725738121662</v>
      </c>
    </row>
    <row r="667" spans="11:13" x14ac:dyDescent="0.3">
      <c r="K667" s="198">
        <f>'DANNO AGGREGATO'!D668</f>
        <v>97719.319763434847</v>
      </c>
      <c r="L667" s="15">
        <f t="shared" si="20"/>
        <v>97719.319763434847</v>
      </c>
      <c r="M667" s="15">
        <f t="shared" si="21"/>
        <v>0</v>
      </c>
    </row>
    <row r="668" spans="11:13" x14ac:dyDescent="0.3">
      <c r="K668" s="198">
        <f>'DANNO AGGREGATO'!D669</f>
        <v>106558.50548468702</v>
      </c>
      <c r="L668" s="15">
        <f t="shared" si="20"/>
        <v>105034.34882660338</v>
      </c>
      <c r="M668" s="15">
        <f t="shared" si="21"/>
        <v>1524.156658083637</v>
      </c>
    </row>
    <row r="669" spans="11:13" x14ac:dyDescent="0.3">
      <c r="K669" s="198">
        <f>'DANNO AGGREGATO'!D670</f>
        <v>66773.944934764979</v>
      </c>
      <c r="L669" s="15">
        <f t="shared" si="20"/>
        <v>66773.944934764979</v>
      </c>
      <c r="M669" s="15">
        <f t="shared" si="21"/>
        <v>0</v>
      </c>
    </row>
    <row r="670" spans="11:13" x14ac:dyDescent="0.3">
      <c r="K670" s="198">
        <f>'DANNO AGGREGATO'!D671</f>
        <v>80737.867433985884</v>
      </c>
      <c r="L670" s="15">
        <f t="shared" si="20"/>
        <v>80737.867433985884</v>
      </c>
      <c r="M670" s="15">
        <f t="shared" si="21"/>
        <v>0</v>
      </c>
    </row>
    <row r="671" spans="11:13" x14ac:dyDescent="0.3">
      <c r="K671" s="198">
        <f>'DANNO AGGREGATO'!D672</f>
        <v>89216.035750234936</v>
      </c>
      <c r="L671" s="15">
        <f t="shared" si="20"/>
        <v>89216.035750234936</v>
      </c>
      <c r="M671" s="15">
        <f t="shared" si="21"/>
        <v>0</v>
      </c>
    </row>
    <row r="672" spans="11:13" x14ac:dyDescent="0.3">
      <c r="K672" s="198">
        <f>'DANNO AGGREGATO'!D673</f>
        <v>97024.332747038658</v>
      </c>
      <c r="L672" s="15">
        <f t="shared" si="20"/>
        <v>97024.332747038658</v>
      </c>
      <c r="M672" s="15">
        <f t="shared" si="21"/>
        <v>0</v>
      </c>
    </row>
    <row r="673" spans="11:13" x14ac:dyDescent="0.3">
      <c r="K673" s="198">
        <f>'DANNO AGGREGATO'!D674</f>
        <v>128051.98883826335</v>
      </c>
      <c r="L673" s="15">
        <f t="shared" si="20"/>
        <v>105034.34882660338</v>
      </c>
      <c r="M673" s="15">
        <f t="shared" si="21"/>
        <v>23017.640011659969</v>
      </c>
    </row>
    <row r="674" spans="11:13" x14ac:dyDescent="0.3">
      <c r="K674" s="198">
        <f>'DANNO AGGREGATO'!D675</f>
        <v>80288.33289964938</v>
      </c>
      <c r="L674" s="15">
        <f t="shared" si="20"/>
        <v>80288.33289964938</v>
      </c>
      <c r="M674" s="15">
        <f t="shared" si="21"/>
        <v>0</v>
      </c>
    </row>
    <row r="675" spans="11:13" x14ac:dyDescent="0.3">
      <c r="K675" s="198">
        <f>'DANNO AGGREGATO'!D676</f>
        <v>85978.806194580276</v>
      </c>
      <c r="L675" s="15">
        <f t="shared" si="20"/>
        <v>85978.806194580276</v>
      </c>
      <c r="M675" s="15">
        <f t="shared" si="21"/>
        <v>0</v>
      </c>
    </row>
    <row r="676" spans="11:13" x14ac:dyDescent="0.3">
      <c r="K676" s="198">
        <f>'DANNO AGGREGATO'!D677</f>
        <v>90369.399560336213</v>
      </c>
      <c r="L676" s="15">
        <f t="shared" si="20"/>
        <v>90369.399560336213</v>
      </c>
      <c r="M676" s="15">
        <f t="shared" si="21"/>
        <v>0</v>
      </c>
    </row>
    <row r="677" spans="11:13" x14ac:dyDescent="0.3">
      <c r="K677" s="198">
        <f>'DANNO AGGREGATO'!D678</f>
        <v>70128.934258238121</v>
      </c>
      <c r="L677" s="15">
        <f t="shared" si="20"/>
        <v>70128.934258238121</v>
      </c>
      <c r="M677" s="15">
        <f t="shared" si="21"/>
        <v>0</v>
      </c>
    </row>
    <row r="678" spans="11:13" x14ac:dyDescent="0.3">
      <c r="K678" s="198">
        <f>'DANNO AGGREGATO'!D679</f>
        <v>122113.4545364212</v>
      </c>
      <c r="L678" s="15">
        <f t="shared" si="20"/>
        <v>105034.34882660338</v>
      </c>
      <c r="M678" s="15">
        <f t="shared" si="21"/>
        <v>17079.105709817813</v>
      </c>
    </row>
    <row r="679" spans="11:13" x14ac:dyDescent="0.3">
      <c r="K679" s="198">
        <f>'DANNO AGGREGATO'!D680</f>
        <v>127526.49330278787</v>
      </c>
      <c r="L679" s="15">
        <f t="shared" si="20"/>
        <v>105034.34882660338</v>
      </c>
      <c r="M679" s="15">
        <f t="shared" si="21"/>
        <v>22492.14447618449</v>
      </c>
    </row>
    <row r="680" spans="11:13" x14ac:dyDescent="0.3">
      <c r="K680" s="198">
        <f>'DANNO AGGREGATO'!D681</f>
        <v>60042.780667737316</v>
      </c>
      <c r="L680" s="15">
        <f t="shared" si="20"/>
        <v>60042.780667737316</v>
      </c>
      <c r="M680" s="15">
        <f t="shared" si="21"/>
        <v>0</v>
      </c>
    </row>
    <row r="681" spans="11:13" x14ac:dyDescent="0.3">
      <c r="K681" s="198">
        <f>'DANNO AGGREGATO'!D682</f>
        <v>64282.677390967532</v>
      </c>
      <c r="L681" s="15">
        <f t="shared" si="20"/>
        <v>64282.677390967532</v>
      </c>
      <c r="M681" s="15">
        <f t="shared" si="21"/>
        <v>0</v>
      </c>
    </row>
    <row r="682" spans="11:13" x14ac:dyDescent="0.3">
      <c r="K682" s="198">
        <f>'DANNO AGGREGATO'!D683</f>
        <v>107692.2669795674</v>
      </c>
      <c r="L682" s="15">
        <f t="shared" si="20"/>
        <v>105034.34882660338</v>
      </c>
      <c r="M682" s="15">
        <f t="shared" si="21"/>
        <v>2657.9181529640191</v>
      </c>
    </row>
    <row r="683" spans="11:13" x14ac:dyDescent="0.3">
      <c r="K683" s="198">
        <f>'DANNO AGGREGATO'!D684</f>
        <v>63212.661503315394</v>
      </c>
      <c r="L683" s="15">
        <f t="shared" si="20"/>
        <v>63212.661503315394</v>
      </c>
      <c r="M683" s="15">
        <f t="shared" si="21"/>
        <v>0</v>
      </c>
    </row>
    <row r="684" spans="11:13" x14ac:dyDescent="0.3">
      <c r="K684" s="198">
        <f>'DANNO AGGREGATO'!D685</f>
        <v>96642.752471797212</v>
      </c>
      <c r="L684" s="15">
        <f t="shared" si="20"/>
        <v>96642.752471797212</v>
      </c>
      <c r="M684" s="15">
        <f t="shared" si="21"/>
        <v>0</v>
      </c>
    </row>
    <row r="685" spans="11:13" x14ac:dyDescent="0.3">
      <c r="K685" s="198">
        <f>'DANNO AGGREGATO'!D686</f>
        <v>88337.93900358252</v>
      </c>
      <c r="L685" s="15">
        <f t="shared" si="20"/>
        <v>88337.93900358252</v>
      </c>
      <c r="M685" s="15">
        <f t="shared" si="21"/>
        <v>0</v>
      </c>
    </row>
    <row r="686" spans="11:13" x14ac:dyDescent="0.3">
      <c r="K686" s="198">
        <f>'DANNO AGGREGATO'!D687</f>
        <v>88560.880500528583</v>
      </c>
      <c r="L686" s="15">
        <f t="shared" si="20"/>
        <v>88560.880500528583</v>
      </c>
      <c r="M686" s="15">
        <f t="shared" si="21"/>
        <v>0</v>
      </c>
    </row>
    <row r="687" spans="11:13" x14ac:dyDescent="0.3">
      <c r="K687" s="198">
        <f>'DANNO AGGREGATO'!D688</f>
        <v>131451.7682184533</v>
      </c>
      <c r="L687" s="15">
        <f t="shared" si="20"/>
        <v>105034.34882660338</v>
      </c>
      <c r="M687" s="15">
        <f t="shared" si="21"/>
        <v>26417.419391849922</v>
      </c>
    </row>
    <row r="688" spans="11:13" x14ac:dyDescent="0.3">
      <c r="K688" s="198">
        <f>'DANNO AGGREGATO'!D689</f>
        <v>100176.35377872398</v>
      </c>
      <c r="L688" s="15">
        <f t="shared" si="20"/>
        <v>100176.35377872398</v>
      </c>
      <c r="M688" s="15">
        <f t="shared" si="21"/>
        <v>0</v>
      </c>
    </row>
    <row r="689" spans="11:13" x14ac:dyDescent="0.3">
      <c r="K689" s="198">
        <f>'DANNO AGGREGATO'!D690</f>
        <v>99582.257688458034</v>
      </c>
      <c r="L689" s="15">
        <f t="shared" si="20"/>
        <v>99582.257688458034</v>
      </c>
      <c r="M689" s="15">
        <f t="shared" si="21"/>
        <v>0</v>
      </c>
    </row>
    <row r="690" spans="11:13" x14ac:dyDescent="0.3">
      <c r="K690" s="198">
        <f>'DANNO AGGREGATO'!D691</f>
        <v>89770.289725874012</v>
      </c>
      <c r="L690" s="15">
        <f t="shared" si="20"/>
        <v>89770.289725874012</v>
      </c>
      <c r="M690" s="15">
        <f t="shared" si="21"/>
        <v>0</v>
      </c>
    </row>
    <row r="691" spans="11:13" x14ac:dyDescent="0.3">
      <c r="K691" s="198">
        <f>'DANNO AGGREGATO'!D692</f>
        <v>101044.5123975787</v>
      </c>
      <c r="L691" s="15">
        <f t="shared" si="20"/>
        <v>101044.5123975787</v>
      </c>
      <c r="M691" s="15">
        <f t="shared" si="21"/>
        <v>0</v>
      </c>
    </row>
    <row r="692" spans="11:13" x14ac:dyDescent="0.3">
      <c r="K692" s="198">
        <f>'DANNO AGGREGATO'!D693</f>
        <v>90428.224500461176</v>
      </c>
      <c r="L692" s="15">
        <f t="shared" si="20"/>
        <v>90428.224500461176</v>
      </c>
      <c r="M692" s="15">
        <f t="shared" si="21"/>
        <v>0</v>
      </c>
    </row>
    <row r="693" spans="11:13" x14ac:dyDescent="0.3">
      <c r="K693" s="198">
        <f>'DANNO AGGREGATO'!D694</f>
        <v>90131.250381127466</v>
      </c>
      <c r="L693" s="15">
        <f t="shared" si="20"/>
        <v>90131.250381127466</v>
      </c>
      <c r="M693" s="15">
        <f t="shared" si="21"/>
        <v>0</v>
      </c>
    </row>
    <row r="694" spans="11:13" x14ac:dyDescent="0.3">
      <c r="K694" s="198">
        <f>'DANNO AGGREGATO'!D695</f>
        <v>87015.888482944036</v>
      </c>
      <c r="L694" s="15">
        <f t="shared" si="20"/>
        <v>87015.888482944036</v>
      </c>
      <c r="M694" s="15">
        <f t="shared" si="21"/>
        <v>0</v>
      </c>
    </row>
    <row r="695" spans="11:13" x14ac:dyDescent="0.3">
      <c r="K695" s="198">
        <f>'DANNO AGGREGATO'!D696</f>
        <v>80663.954383309901</v>
      </c>
      <c r="L695" s="15">
        <f t="shared" si="20"/>
        <v>80663.954383309901</v>
      </c>
      <c r="M695" s="15">
        <f t="shared" si="21"/>
        <v>0</v>
      </c>
    </row>
    <row r="696" spans="11:13" x14ac:dyDescent="0.3">
      <c r="K696" s="198">
        <f>'DANNO AGGREGATO'!D697</f>
        <v>80657.66764145637</v>
      </c>
      <c r="L696" s="15">
        <f t="shared" si="20"/>
        <v>80657.66764145637</v>
      </c>
      <c r="M696" s="15">
        <f t="shared" si="21"/>
        <v>0</v>
      </c>
    </row>
    <row r="697" spans="11:13" x14ac:dyDescent="0.3">
      <c r="K697" s="198">
        <f>'DANNO AGGREGATO'!D698</f>
        <v>110062.81241090548</v>
      </c>
      <c r="L697" s="15">
        <f t="shared" si="20"/>
        <v>105034.34882660338</v>
      </c>
      <c r="M697" s="15">
        <f t="shared" si="21"/>
        <v>5028.4635843020951</v>
      </c>
    </row>
    <row r="698" spans="11:13" x14ac:dyDescent="0.3">
      <c r="K698" s="198">
        <f>'DANNO AGGREGATO'!D699</f>
        <v>94034.242279634418</v>
      </c>
      <c r="L698" s="15">
        <f t="shared" si="20"/>
        <v>94034.242279634418</v>
      </c>
      <c r="M698" s="15">
        <f t="shared" si="21"/>
        <v>0</v>
      </c>
    </row>
    <row r="699" spans="11:13" x14ac:dyDescent="0.3">
      <c r="K699" s="198">
        <f>'DANNO AGGREGATO'!D700</f>
        <v>82393.828675313518</v>
      </c>
      <c r="L699" s="15">
        <f t="shared" si="20"/>
        <v>82393.828675313518</v>
      </c>
      <c r="M699" s="15">
        <f t="shared" si="21"/>
        <v>0</v>
      </c>
    </row>
    <row r="700" spans="11:13" x14ac:dyDescent="0.3">
      <c r="K700" s="198">
        <f>'DANNO AGGREGATO'!D701</f>
        <v>92032.814005326727</v>
      </c>
      <c r="L700" s="15">
        <f t="shared" si="20"/>
        <v>92032.814005326727</v>
      </c>
      <c r="M700" s="15">
        <f t="shared" si="21"/>
        <v>0</v>
      </c>
    </row>
    <row r="701" spans="11:13" x14ac:dyDescent="0.3">
      <c r="K701" s="198">
        <f>'DANNO AGGREGATO'!D702</f>
        <v>114689.50309229548</v>
      </c>
      <c r="L701" s="15">
        <f t="shared" si="20"/>
        <v>105034.34882660338</v>
      </c>
      <c r="M701" s="15">
        <f t="shared" si="21"/>
        <v>9655.1542656920938</v>
      </c>
    </row>
    <row r="702" spans="11:13" x14ac:dyDescent="0.3">
      <c r="K702" s="198">
        <f>'DANNO AGGREGATO'!D703</f>
        <v>90711.293024846513</v>
      </c>
      <c r="L702" s="15">
        <f t="shared" si="20"/>
        <v>90711.293024846513</v>
      </c>
      <c r="M702" s="15">
        <f t="shared" si="21"/>
        <v>0</v>
      </c>
    </row>
    <row r="703" spans="11:13" x14ac:dyDescent="0.3">
      <c r="K703" s="198">
        <f>'DANNO AGGREGATO'!D704</f>
        <v>104078.74074105261</v>
      </c>
      <c r="L703" s="15">
        <f t="shared" si="20"/>
        <v>104078.74074105261</v>
      </c>
      <c r="M703" s="15">
        <f t="shared" si="21"/>
        <v>0</v>
      </c>
    </row>
    <row r="704" spans="11:13" x14ac:dyDescent="0.3">
      <c r="K704" s="198">
        <f>'DANNO AGGREGATO'!D705</f>
        <v>93229.121939510456</v>
      </c>
      <c r="L704" s="15">
        <f t="shared" si="20"/>
        <v>93229.121939510456</v>
      </c>
      <c r="M704" s="15">
        <f t="shared" si="21"/>
        <v>0</v>
      </c>
    </row>
    <row r="705" spans="11:13" x14ac:dyDescent="0.3">
      <c r="K705" s="198">
        <f>'DANNO AGGREGATO'!D706</f>
        <v>63092.359435797531</v>
      </c>
      <c r="L705" s="15">
        <f t="shared" si="20"/>
        <v>63092.359435797531</v>
      </c>
      <c r="M705" s="15">
        <f t="shared" si="21"/>
        <v>0</v>
      </c>
    </row>
    <row r="706" spans="11:13" x14ac:dyDescent="0.3">
      <c r="K706" s="198">
        <f>'DANNO AGGREGATO'!D707</f>
        <v>119309.50025773972</v>
      </c>
      <c r="L706" s="15">
        <f t="shared" si="20"/>
        <v>105034.34882660338</v>
      </c>
      <c r="M706" s="15">
        <f t="shared" si="21"/>
        <v>14275.151431136343</v>
      </c>
    </row>
    <row r="707" spans="11:13" x14ac:dyDescent="0.3">
      <c r="K707" s="198">
        <f>'DANNO AGGREGATO'!D708</f>
        <v>80662.054632956788</v>
      </c>
      <c r="L707" s="15">
        <f t="shared" ref="L707:L770" si="22">IF(K707&lt;=$B$9,K707,$B$9)</f>
        <v>80662.054632956788</v>
      </c>
      <c r="M707" s="15">
        <f t="shared" ref="M707:M770" si="23">K707-L707</f>
        <v>0</v>
      </c>
    </row>
    <row r="708" spans="11:13" x14ac:dyDescent="0.3">
      <c r="K708" s="198">
        <f>'DANNO AGGREGATO'!D709</f>
        <v>88799.754998903503</v>
      </c>
      <c r="L708" s="15">
        <f t="shared" si="22"/>
        <v>88799.754998903503</v>
      </c>
      <c r="M708" s="15">
        <f t="shared" si="23"/>
        <v>0</v>
      </c>
    </row>
    <row r="709" spans="11:13" x14ac:dyDescent="0.3">
      <c r="K709" s="198">
        <f>'DANNO AGGREGATO'!D710</f>
        <v>94969.905828392919</v>
      </c>
      <c r="L709" s="15">
        <f t="shared" si="22"/>
        <v>94969.905828392919</v>
      </c>
      <c r="M709" s="15">
        <f t="shared" si="23"/>
        <v>0</v>
      </c>
    </row>
    <row r="710" spans="11:13" x14ac:dyDescent="0.3">
      <c r="K710" s="198">
        <f>'DANNO AGGREGATO'!D711</f>
        <v>104935.23201619909</v>
      </c>
      <c r="L710" s="15">
        <f t="shared" si="22"/>
        <v>104935.23201619909</v>
      </c>
      <c r="M710" s="15">
        <f t="shared" si="23"/>
        <v>0</v>
      </c>
    </row>
    <row r="711" spans="11:13" x14ac:dyDescent="0.3">
      <c r="K711" s="198">
        <f>'DANNO AGGREGATO'!D712</f>
        <v>78377.870060317335</v>
      </c>
      <c r="L711" s="15">
        <f t="shared" si="22"/>
        <v>78377.870060317335</v>
      </c>
      <c r="M711" s="15">
        <f t="shared" si="23"/>
        <v>0</v>
      </c>
    </row>
    <row r="712" spans="11:13" x14ac:dyDescent="0.3">
      <c r="K712" s="198">
        <f>'DANNO AGGREGATO'!D713</f>
        <v>76741.901562876257</v>
      </c>
      <c r="L712" s="15">
        <f t="shared" si="22"/>
        <v>76741.901562876257</v>
      </c>
      <c r="M712" s="15">
        <f t="shared" si="23"/>
        <v>0</v>
      </c>
    </row>
    <row r="713" spans="11:13" x14ac:dyDescent="0.3">
      <c r="K713" s="198">
        <f>'DANNO AGGREGATO'!D714</f>
        <v>101187.96497908865</v>
      </c>
      <c r="L713" s="15">
        <f t="shared" si="22"/>
        <v>101187.96497908865</v>
      </c>
      <c r="M713" s="15">
        <f t="shared" si="23"/>
        <v>0</v>
      </c>
    </row>
    <row r="714" spans="11:13" x14ac:dyDescent="0.3">
      <c r="K714" s="198">
        <f>'DANNO AGGREGATO'!D715</f>
        <v>112285.03923589014</v>
      </c>
      <c r="L714" s="15">
        <f t="shared" si="22"/>
        <v>105034.34882660338</v>
      </c>
      <c r="M714" s="15">
        <f t="shared" si="23"/>
        <v>7250.6904092867626</v>
      </c>
    </row>
    <row r="715" spans="11:13" x14ac:dyDescent="0.3">
      <c r="K715" s="198">
        <f>'DANNO AGGREGATO'!D716</f>
        <v>79075.865755454608</v>
      </c>
      <c r="L715" s="15">
        <f t="shared" si="22"/>
        <v>79075.865755454608</v>
      </c>
      <c r="M715" s="15">
        <f t="shared" si="23"/>
        <v>0</v>
      </c>
    </row>
    <row r="716" spans="11:13" x14ac:dyDescent="0.3">
      <c r="K716" s="198">
        <f>'DANNO AGGREGATO'!D717</f>
        <v>57424.176774537766</v>
      </c>
      <c r="L716" s="15">
        <f t="shared" si="22"/>
        <v>57424.176774537766</v>
      </c>
      <c r="M716" s="15">
        <f t="shared" si="23"/>
        <v>0</v>
      </c>
    </row>
    <row r="717" spans="11:13" x14ac:dyDescent="0.3">
      <c r="K717" s="198">
        <f>'DANNO AGGREGATO'!D718</f>
        <v>104780.30947046856</v>
      </c>
      <c r="L717" s="15">
        <f t="shared" si="22"/>
        <v>104780.30947046856</v>
      </c>
      <c r="M717" s="15">
        <f t="shared" si="23"/>
        <v>0</v>
      </c>
    </row>
    <row r="718" spans="11:13" x14ac:dyDescent="0.3">
      <c r="K718" s="198">
        <f>'DANNO AGGREGATO'!D719</f>
        <v>104730.01289492343</v>
      </c>
      <c r="L718" s="15">
        <f t="shared" si="22"/>
        <v>104730.01289492343</v>
      </c>
      <c r="M718" s="15">
        <f t="shared" si="23"/>
        <v>0</v>
      </c>
    </row>
    <row r="719" spans="11:13" x14ac:dyDescent="0.3">
      <c r="K719" s="198">
        <f>'DANNO AGGREGATO'!D720</f>
        <v>82726.630204078101</v>
      </c>
      <c r="L719" s="15">
        <f t="shared" si="22"/>
        <v>82726.630204078101</v>
      </c>
      <c r="M719" s="15">
        <f t="shared" si="23"/>
        <v>0</v>
      </c>
    </row>
    <row r="720" spans="11:13" x14ac:dyDescent="0.3">
      <c r="K720" s="198">
        <f>'DANNO AGGREGATO'!D721</f>
        <v>115362.60121269288</v>
      </c>
      <c r="L720" s="15">
        <f t="shared" si="22"/>
        <v>105034.34882660338</v>
      </c>
      <c r="M720" s="15">
        <f t="shared" si="23"/>
        <v>10328.252386089502</v>
      </c>
    </row>
    <row r="721" spans="11:13" x14ac:dyDescent="0.3">
      <c r="K721" s="198">
        <f>'DANNO AGGREGATO'!D722</f>
        <v>90639.904725339991</v>
      </c>
      <c r="L721" s="15">
        <f t="shared" si="22"/>
        <v>90639.904725339991</v>
      </c>
      <c r="M721" s="15">
        <f t="shared" si="23"/>
        <v>0</v>
      </c>
    </row>
    <row r="722" spans="11:13" x14ac:dyDescent="0.3">
      <c r="K722" s="198">
        <f>'DANNO AGGREGATO'!D723</f>
        <v>54396.577263663305</v>
      </c>
      <c r="L722" s="15">
        <f t="shared" si="22"/>
        <v>54396.577263663305</v>
      </c>
      <c r="M722" s="15">
        <f t="shared" si="23"/>
        <v>0</v>
      </c>
    </row>
    <row r="723" spans="11:13" x14ac:dyDescent="0.3">
      <c r="K723" s="198">
        <f>'DANNO AGGREGATO'!D724</f>
        <v>95199.522276385862</v>
      </c>
      <c r="L723" s="15">
        <f t="shared" si="22"/>
        <v>95199.522276385862</v>
      </c>
      <c r="M723" s="15">
        <f t="shared" si="23"/>
        <v>0</v>
      </c>
    </row>
    <row r="724" spans="11:13" x14ac:dyDescent="0.3">
      <c r="K724" s="198">
        <f>'DANNO AGGREGATO'!D725</f>
        <v>74444.749164993045</v>
      </c>
      <c r="L724" s="15">
        <f t="shared" si="22"/>
        <v>74444.749164993045</v>
      </c>
      <c r="M724" s="15">
        <f t="shared" si="23"/>
        <v>0</v>
      </c>
    </row>
    <row r="725" spans="11:13" x14ac:dyDescent="0.3">
      <c r="K725" s="198">
        <f>'DANNO AGGREGATO'!D726</f>
        <v>84970.365067560051</v>
      </c>
      <c r="L725" s="15">
        <f t="shared" si="22"/>
        <v>84970.365067560051</v>
      </c>
      <c r="M725" s="15">
        <f t="shared" si="23"/>
        <v>0</v>
      </c>
    </row>
    <row r="726" spans="11:13" x14ac:dyDescent="0.3">
      <c r="K726" s="198">
        <f>'DANNO AGGREGATO'!D727</f>
        <v>123001.27724309613</v>
      </c>
      <c r="L726" s="15">
        <f t="shared" si="22"/>
        <v>105034.34882660338</v>
      </c>
      <c r="M726" s="15">
        <f t="shared" si="23"/>
        <v>17966.928416492752</v>
      </c>
    </row>
    <row r="727" spans="11:13" x14ac:dyDescent="0.3">
      <c r="K727" s="198">
        <f>'DANNO AGGREGATO'!D728</f>
        <v>81223.538276579595</v>
      </c>
      <c r="L727" s="15">
        <f t="shared" si="22"/>
        <v>81223.538276579595</v>
      </c>
      <c r="M727" s="15">
        <f t="shared" si="23"/>
        <v>0</v>
      </c>
    </row>
    <row r="728" spans="11:13" x14ac:dyDescent="0.3">
      <c r="K728" s="198">
        <f>'DANNO AGGREGATO'!D729</f>
        <v>77332.541847834073</v>
      </c>
      <c r="L728" s="15">
        <f t="shared" si="22"/>
        <v>77332.541847834073</v>
      </c>
      <c r="M728" s="15">
        <f t="shared" si="23"/>
        <v>0</v>
      </c>
    </row>
    <row r="729" spans="11:13" x14ac:dyDescent="0.3">
      <c r="K729" s="198">
        <f>'DANNO AGGREGATO'!D730</f>
        <v>93170.90254850706</v>
      </c>
      <c r="L729" s="15">
        <f t="shared" si="22"/>
        <v>93170.90254850706</v>
      </c>
      <c r="M729" s="15">
        <f t="shared" si="23"/>
        <v>0</v>
      </c>
    </row>
    <row r="730" spans="11:13" x14ac:dyDescent="0.3">
      <c r="K730" s="198">
        <f>'DANNO AGGREGATO'!D731</f>
        <v>84764.429341560957</v>
      </c>
      <c r="L730" s="15">
        <f t="shared" si="22"/>
        <v>84764.429341560957</v>
      </c>
      <c r="M730" s="15">
        <f t="shared" si="23"/>
        <v>0</v>
      </c>
    </row>
    <row r="731" spans="11:13" x14ac:dyDescent="0.3">
      <c r="K731" s="198">
        <f>'DANNO AGGREGATO'!D732</f>
        <v>85926.590276972405</v>
      </c>
      <c r="L731" s="15">
        <f t="shared" si="22"/>
        <v>85926.590276972405</v>
      </c>
      <c r="M731" s="15">
        <f t="shared" si="23"/>
        <v>0</v>
      </c>
    </row>
    <row r="732" spans="11:13" x14ac:dyDescent="0.3">
      <c r="K732" s="198">
        <f>'DANNO AGGREGATO'!D733</f>
        <v>75033.733948724956</v>
      </c>
      <c r="L732" s="15">
        <f t="shared" si="22"/>
        <v>75033.733948724956</v>
      </c>
      <c r="M732" s="15">
        <f t="shared" si="23"/>
        <v>0</v>
      </c>
    </row>
    <row r="733" spans="11:13" x14ac:dyDescent="0.3">
      <c r="K733" s="198">
        <f>'DANNO AGGREGATO'!D734</f>
        <v>74827.527028515731</v>
      </c>
      <c r="L733" s="15">
        <f t="shared" si="22"/>
        <v>74827.527028515731</v>
      </c>
      <c r="M733" s="15">
        <f t="shared" si="23"/>
        <v>0</v>
      </c>
    </row>
    <row r="734" spans="11:13" x14ac:dyDescent="0.3">
      <c r="K734" s="198">
        <f>'DANNO AGGREGATO'!D735</f>
        <v>80340.167210943691</v>
      </c>
      <c r="L734" s="15">
        <f t="shared" si="22"/>
        <v>80340.167210943691</v>
      </c>
      <c r="M734" s="15">
        <f t="shared" si="23"/>
        <v>0</v>
      </c>
    </row>
    <row r="735" spans="11:13" x14ac:dyDescent="0.3">
      <c r="K735" s="198">
        <f>'DANNO AGGREGATO'!D736</f>
        <v>98977.642938431047</v>
      </c>
      <c r="L735" s="15">
        <f t="shared" si="22"/>
        <v>98977.642938431047</v>
      </c>
      <c r="M735" s="15">
        <f t="shared" si="23"/>
        <v>0</v>
      </c>
    </row>
    <row r="736" spans="11:13" x14ac:dyDescent="0.3">
      <c r="K736" s="198">
        <f>'DANNO AGGREGATO'!D737</f>
        <v>92288.318176472792</v>
      </c>
      <c r="L736" s="15">
        <f t="shared" si="22"/>
        <v>92288.318176472792</v>
      </c>
      <c r="M736" s="15">
        <f t="shared" si="23"/>
        <v>0</v>
      </c>
    </row>
    <row r="737" spans="11:13" x14ac:dyDescent="0.3">
      <c r="K737" s="198">
        <f>'DANNO AGGREGATO'!D738</f>
        <v>76017.988794299206</v>
      </c>
      <c r="L737" s="15">
        <f t="shared" si="22"/>
        <v>76017.988794299206</v>
      </c>
      <c r="M737" s="15">
        <f t="shared" si="23"/>
        <v>0</v>
      </c>
    </row>
    <row r="738" spans="11:13" x14ac:dyDescent="0.3">
      <c r="K738" s="198">
        <f>'DANNO AGGREGATO'!D739</f>
        <v>147121.52556807612</v>
      </c>
      <c r="L738" s="15">
        <f t="shared" si="22"/>
        <v>105034.34882660338</v>
      </c>
      <c r="M738" s="15">
        <f t="shared" si="23"/>
        <v>42087.176741472736</v>
      </c>
    </row>
    <row r="739" spans="11:13" x14ac:dyDescent="0.3">
      <c r="K739" s="198">
        <f>'DANNO AGGREGATO'!D740</f>
        <v>117424.13702814905</v>
      </c>
      <c r="L739" s="15">
        <f t="shared" si="22"/>
        <v>105034.34882660338</v>
      </c>
      <c r="M739" s="15">
        <f t="shared" si="23"/>
        <v>12389.788201545671</v>
      </c>
    </row>
    <row r="740" spans="11:13" x14ac:dyDescent="0.3">
      <c r="K740" s="198">
        <f>'DANNO AGGREGATO'!D741</f>
        <v>96010.823770370931</v>
      </c>
      <c r="L740" s="15">
        <f t="shared" si="22"/>
        <v>96010.823770370931</v>
      </c>
      <c r="M740" s="15">
        <f t="shared" si="23"/>
        <v>0</v>
      </c>
    </row>
    <row r="741" spans="11:13" x14ac:dyDescent="0.3">
      <c r="K741" s="198">
        <f>'DANNO AGGREGATO'!D742</f>
        <v>63303.006908780022</v>
      </c>
      <c r="L741" s="15">
        <f t="shared" si="22"/>
        <v>63303.006908780022</v>
      </c>
      <c r="M741" s="15">
        <f t="shared" si="23"/>
        <v>0</v>
      </c>
    </row>
    <row r="742" spans="11:13" x14ac:dyDescent="0.3">
      <c r="K742" s="198">
        <f>'DANNO AGGREGATO'!D743</f>
        <v>86663.309641432701</v>
      </c>
      <c r="L742" s="15">
        <f t="shared" si="22"/>
        <v>86663.309641432701</v>
      </c>
      <c r="M742" s="15">
        <f t="shared" si="23"/>
        <v>0</v>
      </c>
    </row>
    <row r="743" spans="11:13" x14ac:dyDescent="0.3">
      <c r="K743" s="198">
        <f>'DANNO AGGREGATO'!D744</f>
        <v>107801.20422121968</v>
      </c>
      <c r="L743" s="15">
        <f t="shared" si="22"/>
        <v>105034.34882660338</v>
      </c>
      <c r="M743" s="15">
        <f t="shared" si="23"/>
        <v>2766.8553946163011</v>
      </c>
    </row>
    <row r="744" spans="11:13" x14ac:dyDescent="0.3">
      <c r="K744" s="198">
        <f>'DANNO AGGREGATO'!D745</f>
        <v>109301.43964997884</v>
      </c>
      <c r="L744" s="15">
        <f t="shared" si="22"/>
        <v>105034.34882660338</v>
      </c>
      <c r="M744" s="15">
        <f t="shared" si="23"/>
        <v>4267.0908233754599</v>
      </c>
    </row>
    <row r="745" spans="11:13" x14ac:dyDescent="0.3">
      <c r="K745" s="198">
        <f>'DANNO AGGREGATO'!D746</f>
        <v>85530.163730044951</v>
      </c>
      <c r="L745" s="15">
        <f t="shared" si="22"/>
        <v>85530.163730044951</v>
      </c>
      <c r="M745" s="15">
        <f t="shared" si="23"/>
        <v>0</v>
      </c>
    </row>
    <row r="746" spans="11:13" x14ac:dyDescent="0.3">
      <c r="K746" s="198">
        <f>'DANNO AGGREGATO'!D747</f>
        <v>97945.681760246182</v>
      </c>
      <c r="L746" s="15">
        <f t="shared" si="22"/>
        <v>97945.681760246182</v>
      </c>
      <c r="M746" s="15">
        <f t="shared" si="23"/>
        <v>0</v>
      </c>
    </row>
    <row r="747" spans="11:13" x14ac:dyDescent="0.3">
      <c r="K747" s="198">
        <f>'DANNO AGGREGATO'!D748</f>
        <v>93022.385850070728</v>
      </c>
      <c r="L747" s="15">
        <f t="shared" si="22"/>
        <v>93022.385850070728</v>
      </c>
      <c r="M747" s="15">
        <f t="shared" si="23"/>
        <v>0</v>
      </c>
    </row>
    <row r="748" spans="11:13" x14ac:dyDescent="0.3">
      <c r="K748" s="198">
        <f>'DANNO AGGREGATO'!D749</f>
        <v>83794.665904508031</v>
      </c>
      <c r="L748" s="15">
        <f t="shared" si="22"/>
        <v>83794.665904508031</v>
      </c>
      <c r="M748" s="15">
        <f t="shared" si="23"/>
        <v>0</v>
      </c>
    </row>
    <row r="749" spans="11:13" x14ac:dyDescent="0.3">
      <c r="K749" s="198">
        <f>'DANNO AGGREGATO'!D750</f>
        <v>128740.94518335276</v>
      </c>
      <c r="L749" s="15">
        <f t="shared" si="22"/>
        <v>105034.34882660338</v>
      </c>
      <c r="M749" s="15">
        <f t="shared" si="23"/>
        <v>23706.596356749375</v>
      </c>
    </row>
    <row r="750" spans="11:13" x14ac:dyDescent="0.3">
      <c r="K750" s="198">
        <f>'DANNO AGGREGATO'!D751</f>
        <v>102347.83084462114</v>
      </c>
      <c r="L750" s="15">
        <f t="shared" si="22"/>
        <v>102347.83084462114</v>
      </c>
      <c r="M750" s="15">
        <f t="shared" si="23"/>
        <v>0</v>
      </c>
    </row>
    <row r="751" spans="11:13" x14ac:dyDescent="0.3">
      <c r="K751" s="198">
        <f>'DANNO AGGREGATO'!D752</f>
        <v>88939.956130542458</v>
      </c>
      <c r="L751" s="15">
        <f t="shared" si="22"/>
        <v>88939.956130542458</v>
      </c>
      <c r="M751" s="15">
        <f t="shared" si="23"/>
        <v>0</v>
      </c>
    </row>
    <row r="752" spans="11:13" x14ac:dyDescent="0.3">
      <c r="K752" s="198">
        <f>'DANNO AGGREGATO'!D753</f>
        <v>124185.51840157874</v>
      </c>
      <c r="L752" s="15">
        <f t="shared" si="22"/>
        <v>105034.34882660338</v>
      </c>
      <c r="M752" s="15">
        <f t="shared" si="23"/>
        <v>19151.169574975356</v>
      </c>
    </row>
    <row r="753" spans="11:13" x14ac:dyDescent="0.3">
      <c r="K753" s="198">
        <f>'DANNO AGGREGATO'!D754</f>
        <v>103335.69214775994</v>
      </c>
      <c r="L753" s="15">
        <f t="shared" si="22"/>
        <v>103335.69214775994</v>
      </c>
      <c r="M753" s="15">
        <f t="shared" si="23"/>
        <v>0</v>
      </c>
    </row>
    <row r="754" spans="11:13" x14ac:dyDescent="0.3">
      <c r="K754" s="198">
        <f>'DANNO AGGREGATO'!D755</f>
        <v>98051.146826581898</v>
      </c>
      <c r="L754" s="15">
        <f t="shared" si="22"/>
        <v>98051.146826581898</v>
      </c>
      <c r="M754" s="15">
        <f t="shared" si="23"/>
        <v>0</v>
      </c>
    </row>
    <row r="755" spans="11:13" x14ac:dyDescent="0.3">
      <c r="K755" s="198">
        <f>'DANNO AGGREGATO'!D756</f>
        <v>85019.412452437929</v>
      </c>
      <c r="L755" s="15">
        <f t="shared" si="22"/>
        <v>85019.412452437929</v>
      </c>
      <c r="M755" s="15">
        <f t="shared" si="23"/>
        <v>0</v>
      </c>
    </row>
    <row r="756" spans="11:13" x14ac:dyDescent="0.3">
      <c r="K756" s="198">
        <f>'DANNO AGGREGATO'!D757</f>
        <v>115108.18249843098</v>
      </c>
      <c r="L756" s="15">
        <f t="shared" si="22"/>
        <v>105034.34882660338</v>
      </c>
      <c r="M756" s="15">
        <f t="shared" si="23"/>
        <v>10073.833671827597</v>
      </c>
    </row>
    <row r="757" spans="11:13" x14ac:dyDescent="0.3">
      <c r="K757" s="198">
        <f>'DANNO AGGREGATO'!D758</f>
        <v>92769.98536384711</v>
      </c>
      <c r="L757" s="15">
        <f t="shared" si="22"/>
        <v>92769.98536384711</v>
      </c>
      <c r="M757" s="15">
        <f t="shared" si="23"/>
        <v>0</v>
      </c>
    </row>
    <row r="758" spans="11:13" x14ac:dyDescent="0.3">
      <c r="K758" s="198">
        <f>'DANNO AGGREGATO'!D759</f>
        <v>97788.046550551022</v>
      </c>
      <c r="L758" s="15">
        <f t="shared" si="22"/>
        <v>97788.046550551022</v>
      </c>
      <c r="M758" s="15">
        <f t="shared" si="23"/>
        <v>0</v>
      </c>
    </row>
    <row r="759" spans="11:13" x14ac:dyDescent="0.3">
      <c r="K759" s="198">
        <f>'DANNO AGGREGATO'!D760</f>
        <v>121955.10392368597</v>
      </c>
      <c r="L759" s="15">
        <f t="shared" si="22"/>
        <v>105034.34882660338</v>
      </c>
      <c r="M759" s="15">
        <f t="shared" si="23"/>
        <v>16920.755097082583</v>
      </c>
    </row>
    <row r="760" spans="11:13" x14ac:dyDescent="0.3">
      <c r="K760" s="198">
        <f>'DANNO AGGREGATO'!D761</f>
        <v>85105.043405306409</v>
      </c>
      <c r="L760" s="15">
        <f t="shared" si="22"/>
        <v>85105.043405306409</v>
      </c>
      <c r="M760" s="15">
        <f t="shared" si="23"/>
        <v>0</v>
      </c>
    </row>
    <row r="761" spans="11:13" x14ac:dyDescent="0.3">
      <c r="K761" s="198">
        <f>'DANNO AGGREGATO'!D762</f>
        <v>115501.75177243121</v>
      </c>
      <c r="L761" s="15">
        <f t="shared" si="22"/>
        <v>105034.34882660338</v>
      </c>
      <c r="M761" s="15">
        <f t="shared" si="23"/>
        <v>10467.402945827824</v>
      </c>
    </row>
    <row r="762" spans="11:13" x14ac:dyDescent="0.3">
      <c r="K762" s="198">
        <f>'DANNO AGGREGATO'!D763</f>
        <v>101602.49311526389</v>
      </c>
      <c r="L762" s="15">
        <f t="shared" si="22"/>
        <v>101602.49311526389</v>
      </c>
      <c r="M762" s="15">
        <f t="shared" si="23"/>
        <v>0</v>
      </c>
    </row>
    <row r="763" spans="11:13" x14ac:dyDescent="0.3">
      <c r="K763" s="198">
        <f>'DANNO AGGREGATO'!D764</f>
        <v>101505.41696095324</v>
      </c>
      <c r="L763" s="15">
        <f t="shared" si="22"/>
        <v>101505.41696095324</v>
      </c>
      <c r="M763" s="15">
        <f t="shared" si="23"/>
        <v>0</v>
      </c>
    </row>
    <row r="764" spans="11:13" x14ac:dyDescent="0.3">
      <c r="K764" s="198">
        <f>'DANNO AGGREGATO'!D765</f>
        <v>89499.675659908768</v>
      </c>
      <c r="L764" s="15">
        <f t="shared" si="22"/>
        <v>89499.675659908768</v>
      </c>
      <c r="M764" s="15">
        <f t="shared" si="23"/>
        <v>0</v>
      </c>
    </row>
    <row r="765" spans="11:13" x14ac:dyDescent="0.3">
      <c r="K765" s="198">
        <f>'DANNO AGGREGATO'!D766</f>
        <v>100194.84235851131</v>
      </c>
      <c r="L765" s="15">
        <f t="shared" si="22"/>
        <v>100194.84235851131</v>
      </c>
      <c r="M765" s="15">
        <f t="shared" si="23"/>
        <v>0</v>
      </c>
    </row>
    <row r="766" spans="11:13" x14ac:dyDescent="0.3">
      <c r="K766" s="198">
        <f>'DANNO AGGREGATO'!D767</f>
        <v>90187.60557556116</v>
      </c>
      <c r="L766" s="15">
        <f t="shared" si="22"/>
        <v>90187.60557556116</v>
      </c>
      <c r="M766" s="15">
        <f t="shared" si="23"/>
        <v>0</v>
      </c>
    </row>
    <row r="767" spans="11:13" x14ac:dyDescent="0.3">
      <c r="K767" s="198">
        <f>'DANNO AGGREGATO'!D768</f>
        <v>109564.74665470382</v>
      </c>
      <c r="L767" s="15">
        <f t="shared" si="22"/>
        <v>105034.34882660338</v>
      </c>
      <c r="M767" s="15">
        <f t="shared" si="23"/>
        <v>4530.3978281004383</v>
      </c>
    </row>
    <row r="768" spans="11:13" x14ac:dyDescent="0.3">
      <c r="K768" s="198">
        <f>'DANNO AGGREGATO'!D769</f>
        <v>85286.918032241243</v>
      </c>
      <c r="L768" s="15">
        <f t="shared" si="22"/>
        <v>85286.918032241243</v>
      </c>
      <c r="M768" s="15">
        <f t="shared" si="23"/>
        <v>0</v>
      </c>
    </row>
    <row r="769" spans="11:13" x14ac:dyDescent="0.3">
      <c r="K769" s="198">
        <f>'DANNO AGGREGATO'!D770</f>
        <v>80584.374401346489</v>
      </c>
      <c r="L769" s="15">
        <f t="shared" si="22"/>
        <v>80584.374401346489</v>
      </c>
      <c r="M769" s="15">
        <f t="shared" si="23"/>
        <v>0</v>
      </c>
    </row>
    <row r="770" spans="11:13" x14ac:dyDescent="0.3">
      <c r="K770" s="198">
        <f>'DANNO AGGREGATO'!D771</f>
        <v>114614.59115399289</v>
      </c>
      <c r="L770" s="15">
        <f t="shared" si="22"/>
        <v>105034.34882660338</v>
      </c>
      <c r="M770" s="15">
        <f t="shared" si="23"/>
        <v>9580.242327389511</v>
      </c>
    </row>
    <row r="771" spans="11:13" x14ac:dyDescent="0.3">
      <c r="K771" s="198">
        <f>'DANNO AGGREGATO'!D772</f>
        <v>96894.232467372902</v>
      </c>
      <c r="L771" s="15">
        <f t="shared" ref="L771:L834" si="24">IF(K771&lt;=$B$9,K771,$B$9)</f>
        <v>96894.232467372902</v>
      </c>
      <c r="M771" s="15">
        <f t="shared" ref="M771:M834" si="25">K771-L771</f>
        <v>0</v>
      </c>
    </row>
    <row r="772" spans="11:13" x14ac:dyDescent="0.3">
      <c r="K772" s="198">
        <f>'DANNO AGGREGATO'!D773</f>
        <v>79130.591534894789</v>
      </c>
      <c r="L772" s="15">
        <f t="shared" si="24"/>
        <v>79130.591534894789</v>
      </c>
      <c r="M772" s="15">
        <f t="shared" si="25"/>
        <v>0</v>
      </c>
    </row>
    <row r="773" spans="11:13" x14ac:dyDescent="0.3">
      <c r="K773" s="198">
        <f>'DANNO AGGREGATO'!D774</f>
        <v>92392.345284797382</v>
      </c>
      <c r="L773" s="15">
        <f t="shared" si="24"/>
        <v>92392.345284797382</v>
      </c>
      <c r="M773" s="15">
        <f t="shared" si="25"/>
        <v>0</v>
      </c>
    </row>
    <row r="774" spans="11:13" x14ac:dyDescent="0.3">
      <c r="K774" s="198">
        <f>'DANNO AGGREGATO'!D775</f>
        <v>102085.80367089147</v>
      </c>
      <c r="L774" s="15">
        <f t="shared" si="24"/>
        <v>102085.80367089147</v>
      </c>
      <c r="M774" s="15">
        <f t="shared" si="25"/>
        <v>0</v>
      </c>
    </row>
    <row r="775" spans="11:13" x14ac:dyDescent="0.3">
      <c r="K775" s="198">
        <f>'DANNO AGGREGATO'!D776</f>
        <v>113085.36279304797</v>
      </c>
      <c r="L775" s="15">
        <f t="shared" si="24"/>
        <v>105034.34882660338</v>
      </c>
      <c r="M775" s="15">
        <f t="shared" si="25"/>
        <v>8051.0139664445887</v>
      </c>
    </row>
    <row r="776" spans="11:13" x14ac:dyDescent="0.3">
      <c r="K776" s="198">
        <f>'DANNO AGGREGATO'!D777</f>
        <v>105212.85994501956</v>
      </c>
      <c r="L776" s="15">
        <f t="shared" si="24"/>
        <v>105034.34882660338</v>
      </c>
      <c r="M776" s="15">
        <f t="shared" si="25"/>
        <v>178.51111841617967</v>
      </c>
    </row>
    <row r="777" spans="11:13" x14ac:dyDescent="0.3">
      <c r="K777" s="198">
        <f>'DANNO AGGREGATO'!D778</f>
        <v>85773.375814355342</v>
      </c>
      <c r="L777" s="15">
        <f t="shared" si="24"/>
        <v>85773.375814355342</v>
      </c>
      <c r="M777" s="15">
        <f t="shared" si="25"/>
        <v>0</v>
      </c>
    </row>
    <row r="778" spans="11:13" x14ac:dyDescent="0.3">
      <c r="K778" s="198">
        <f>'DANNO AGGREGATO'!D779</f>
        <v>116188.78549258382</v>
      </c>
      <c r="L778" s="15">
        <f t="shared" si="24"/>
        <v>105034.34882660338</v>
      </c>
      <c r="M778" s="15">
        <f t="shared" si="25"/>
        <v>11154.436665980436</v>
      </c>
    </row>
    <row r="779" spans="11:13" x14ac:dyDescent="0.3">
      <c r="K779" s="198">
        <f>'DANNO AGGREGATO'!D780</f>
        <v>102664.50785802132</v>
      </c>
      <c r="L779" s="15">
        <f t="shared" si="24"/>
        <v>102664.50785802132</v>
      </c>
      <c r="M779" s="15">
        <f t="shared" si="25"/>
        <v>0</v>
      </c>
    </row>
    <row r="780" spans="11:13" x14ac:dyDescent="0.3">
      <c r="K780" s="198">
        <f>'DANNO AGGREGATO'!D781</f>
        <v>100876.10521619453</v>
      </c>
      <c r="L780" s="15">
        <f t="shared" si="24"/>
        <v>100876.10521619453</v>
      </c>
      <c r="M780" s="15">
        <f t="shared" si="25"/>
        <v>0</v>
      </c>
    </row>
    <row r="781" spans="11:13" x14ac:dyDescent="0.3">
      <c r="K781" s="198">
        <f>'DANNO AGGREGATO'!D782</f>
        <v>82785.680349120215</v>
      </c>
      <c r="L781" s="15">
        <f t="shared" si="24"/>
        <v>82785.680349120215</v>
      </c>
      <c r="M781" s="15">
        <f t="shared" si="25"/>
        <v>0</v>
      </c>
    </row>
    <row r="782" spans="11:13" x14ac:dyDescent="0.3">
      <c r="K782" s="198">
        <f>'DANNO AGGREGATO'!D783</f>
        <v>60495.979184318043</v>
      </c>
      <c r="L782" s="15">
        <f t="shared" si="24"/>
        <v>60495.979184318043</v>
      </c>
      <c r="M782" s="15">
        <f t="shared" si="25"/>
        <v>0</v>
      </c>
    </row>
    <row r="783" spans="11:13" x14ac:dyDescent="0.3">
      <c r="K783" s="198">
        <f>'DANNO AGGREGATO'!D784</f>
        <v>90847.984461431755</v>
      </c>
      <c r="L783" s="15">
        <f t="shared" si="24"/>
        <v>90847.984461431755</v>
      </c>
      <c r="M783" s="15">
        <f t="shared" si="25"/>
        <v>0</v>
      </c>
    </row>
    <row r="784" spans="11:13" x14ac:dyDescent="0.3">
      <c r="K784" s="198">
        <f>'DANNO AGGREGATO'!D785</f>
        <v>91020.689563421634</v>
      </c>
      <c r="L784" s="15">
        <f t="shared" si="24"/>
        <v>91020.689563421634</v>
      </c>
      <c r="M784" s="15">
        <f t="shared" si="25"/>
        <v>0</v>
      </c>
    </row>
    <row r="785" spans="11:13" x14ac:dyDescent="0.3">
      <c r="K785" s="198">
        <f>'DANNO AGGREGATO'!D786</f>
        <v>117708.50991573797</v>
      </c>
      <c r="L785" s="15">
        <f t="shared" si="24"/>
        <v>105034.34882660338</v>
      </c>
      <c r="M785" s="15">
        <f t="shared" si="25"/>
        <v>12674.161089134592</v>
      </c>
    </row>
    <row r="786" spans="11:13" x14ac:dyDescent="0.3">
      <c r="K786" s="198">
        <f>'DANNO AGGREGATO'!D787</f>
        <v>90883.969586254578</v>
      </c>
      <c r="L786" s="15">
        <f t="shared" si="24"/>
        <v>90883.969586254578</v>
      </c>
      <c r="M786" s="15">
        <f t="shared" si="25"/>
        <v>0</v>
      </c>
    </row>
    <row r="787" spans="11:13" x14ac:dyDescent="0.3">
      <c r="K787" s="198">
        <f>'DANNO AGGREGATO'!D788</f>
        <v>86252.353180991282</v>
      </c>
      <c r="L787" s="15">
        <f t="shared" si="24"/>
        <v>86252.353180991282</v>
      </c>
      <c r="M787" s="15">
        <f t="shared" si="25"/>
        <v>0</v>
      </c>
    </row>
    <row r="788" spans="11:13" x14ac:dyDescent="0.3">
      <c r="K788" s="198">
        <f>'DANNO AGGREGATO'!D789</f>
        <v>100578.93229709061</v>
      </c>
      <c r="L788" s="15">
        <f t="shared" si="24"/>
        <v>100578.93229709061</v>
      </c>
      <c r="M788" s="15">
        <f t="shared" si="25"/>
        <v>0</v>
      </c>
    </row>
    <row r="789" spans="11:13" x14ac:dyDescent="0.3">
      <c r="K789" s="198">
        <f>'DANNO AGGREGATO'!D790</f>
        <v>85784.883323288348</v>
      </c>
      <c r="L789" s="15">
        <f t="shared" si="24"/>
        <v>85784.883323288348</v>
      </c>
      <c r="M789" s="15">
        <f t="shared" si="25"/>
        <v>0</v>
      </c>
    </row>
    <row r="790" spans="11:13" x14ac:dyDescent="0.3">
      <c r="K790" s="198">
        <f>'DANNO AGGREGATO'!D791</f>
        <v>102513.34619415813</v>
      </c>
      <c r="L790" s="15">
        <f t="shared" si="24"/>
        <v>102513.34619415813</v>
      </c>
      <c r="M790" s="15">
        <f t="shared" si="25"/>
        <v>0</v>
      </c>
    </row>
    <row r="791" spans="11:13" x14ac:dyDescent="0.3">
      <c r="K791" s="198">
        <f>'DANNO AGGREGATO'!D792</f>
        <v>61937.6348925723</v>
      </c>
      <c r="L791" s="15">
        <f t="shared" si="24"/>
        <v>61937.6348925723</v>
      </c>
      <c r="M791" s="15">
        <f t="shared" si="25"/>
        <v>0</v>
      </c>
    </row>
    <row r="792" spans="11:13" x14ac:dyDescent="0.3">
      <c r="K792" s="198">
        <f>'DANNO AGGREGATO'!D793</f>
        <v>130009.659672853</v>
      </c>
      <c r="L792" s="15">
        <f t="shared" si="24"/>
        <v>105034.34882660338</v>
      </c>
      <c r="M792" s="15">
        <f t="shared" si="25"/>
        <v>24975.310846249617</v>
      </c>
    </row>
    <row r="793" spans="11:13" x14ac:dyDescent="0.3">
      <c r="K793" s="198">
        <f>'DANNO AGGREGATO'!D794</f>
        <v>87734.858346082925</v>
      </c>
      <c r="L793" s="15">
        <f t="shared" si="24"/>
        <v>87734.858346082925</v>
      </c>
      <c r="M793" s="15">
        <f t="shared" si="25"/>
        <v>0</v>
      </c>
    </row>
    <row r="794" spans="11:13" x14ac:dyDescent="0.3">
      <c r="K794" s="198">
        <f>'DANNO AGGREGATO'!D795</f>
        <v>107591.81010267959</v>
      </c>
      <c r="L794" s="15">
        <f t="shared" si="24"/>
        <v>105034.34882660338</v>
      </c>
      <c r="M794" s="15">
        <f t="shared" si="25"/>
        <v>2557.4612760762102</v>
      </c>
    </row>
    <row r="795" spans="11:13" x14ac:dyDescent="0.3">
      <c r="K795" s="198">
        <f>'DANNO AGGREGATO'!D796</f>
        <v>82386.049236774794</v>
      </c>
      <c r="L795" s="15">
        <f t="shared" si="24"/>
        <v>82386.049236774794</v>
      </c>
      <c r="M795" s="15">
        <f t="shared" si="25"/>
        <v>0</v>
      </c>
    </row>
    <row r="796" spans="11:13" x14ac:dyDescent="0.3">
      <c r="K796" s="198">
        <f>'DANNO AGGREGATO'!D797</f>
        <v>124495.76142981939</v>
      </c>
      <c r="L796" s="15">
        <f t="shared" si="24"/>
        <v>105034.34882660338</v>
      </c>
      <c r="M796" s="15">
        <f t="shared" si="25"/>
        <v>19461.412603216013</v>
      </c>
    </row>
    <row r="797" spans="11:13" x14ac:dyDescent="0.3">
      <c r="K797" s="198">
        <f>'DANNO AGGREGATO'!D798</f>
        <v>104566.05603695485</v>
      </c>
      <c r="L797" s="15">
        <f t="shared" si="24"/>
        <v>104566.05603695485</v>
      </c>
      <c r="M797" s="15">
        <f t="shared" si="25"/>
        <v>0</v>
      </c>
    </row>
    <row r="798" spans="11:13" x14ac:dyDescent="0.3">
      <c r="K798" s="198">
        <f>'DANNO AGGREGATO'!D799</f>
        <v>91689.989125069536</v>
      </c>
      <c r="L798" s="15">
        <f t="shared" si="24"/>
        <v>91689.989125069536</v>
      </c>
      <c r="M798" s="15">
        <f t="shared" si="25"/>
        <v>0</v>
      </c>
    </row>
    <row r="799" spans="11:13" x14ac:dyDescent="0.3">
      <c r="K799" s="198">
        <f>'DANNO AGGREGATO'!D800</f>
        <v>93355.979143913792</v>
      </c>
      <c r="L799" s="15">
        <f t="shared" si="24"/>
        <v>93355.979143913792</v>
      </c>
      <c r="M799" s="15">
        <f t="shared" si="25"/>
        <v>0</v>
      </c>
    </row>
    <row r="800" spans="11:13" x14ac:dyDescent="0.3">
      <c r="K800" s="198">
        <f>'DANNO AGGREGATO'!D801</f>
        <v>76993.509139741014</v>
      </c>
      <c r="L800" s="15">
        <f t="shared" si="24"/>
        <v>76993.509139741014</v>
      </c>
      <c r="M800" s="15">
        <f t="shared" si="25"/>
        <v>0</v>
      </c>
    </row>
    <row r="801" spans="11:13" x14ac:dyDescent="0.3">
      <c r="K801" s="198">
        <f>'DANNO AGGREGATO'!D802</f>
        <v>94972.668897251031</v>
      </c>
      <c r="L801" s="15">
        <f t="shared" si="24"/>
        <v>94972.668897251031</v>
      </c>
      <c r="M801" s="15">
        <f t="shared" si="25"/>
        <v>0</v>
      </c>
    </row>
    <row r="802" spans="11:13" x14ac:dyDescent="0.3">
      <c r="K802" s="198">
        <f>'DANNO AGGREGATO'!D803</f>
        <v>77361.380813038224</v>
      </c>
      <c r="L802" s="15">
        <f t="shared" si="24"/>
        <v>77361.380813038224</v>
      </c>
      <c r="M802" s="15">
        <f t="shared" si="25"/>
        <v>0</v>
      </c>
    </row>
    <row r="803" spans="11:13" x14ac:dyDescent="0.3">
      <c r="K803" s="198">
        <f>'DANNO AGGREGATO'!D804</f>
        <v>78214.08612006082</v>
      </c>
      <c r="L803" s="15">
        <f t="shared" si="24"/>
        <v>78214.08612006082</v>
      </c>
      <c r="M803" s="15">
        <f t="shared" si="25"/>
        <v>0</v>
      </c>
    </row>
    <row r="804" spans="11:13" x14ac:dyDescent="0.3">
      <c r="K804" s="198">
        <f>'DANNO AGGREGATO'!D805</f>
        <v>107531.90546908337</v>
      </c>
      <c r="L804" s="15">
        <f t="shared" si="24"/>
        <v>105034.34882660338</v>
      </c>
      <c r="M804" s="15">
        <f t="shared" si="25"/>
        <v>2497.5566424799908</v>
      </c>
    </row>
    <row r="805" spans="11:13" x14ac:dyDescent="0.3">
      <c r="K805" s="198">
        <f>'DANNO AGGREGATO'!D806</f>
        <v>63175.193429994106</v>
      </c>
      <c r="L805" s="15">
        <f t="shared" si="24"/>
        <v>63175.193429994106</v>
      </c>
      <c r="M805" s="15">
        <f t="shared" si="25"/>
        <v>0</v>
      </c>
    </row>
    <row r="806" spans="11:13" x14ac:dyDescent="0.3">
      <c r="K806" s="198">
        <f>'DANNO AGGREGATO'!D807</f>
        <v>104384.82303589016</v>
      </c>
      <c r="L806" s="15">
        <f t="shared" si="24"/>
        <v>104384.82303589016</v>
      </c>
      <c r="M806" s="15">
        <f t="shared" si="25"/>
        <v>0</v>
      </c>
    </row>
    <row r="807" spans="11:13" x14ac:dyDescent="0.3">
      <c r="K807" s="198">
        <f>'DANNO AGGREGATO'!D808</f>
        <v>112954.30341001641</v>
      </c>
      <c r="L807" s="15">
        <f t="shared" si="24"/>
        <v>105034.34882660338</v>
      </c>
      <c r="M807" s="15">
        <f t="shared" si="25"/>
        <v>7919.9545834130258</v>
      </c>
    </row>
    <row r="808" spans="11:13" x14ac:dyDescent="0.3">
      <c r="K808" s="198">
        <f>'DANNO AGGREGATO'!D809</f>
        <v>127947.51271252077</v>
      </c>
      <c r="L808" s="15">
        <f t="shared" si="24"/>
        <v>105034.34882660338</v>
      </c>
      <c r="M808" s="15">
        <f t="shared" si="25"/>
        <v>22913.163885917384</v>
      </c>
    </row>
    <row r="809" spans="11:13" x14ac:dyDescent="0.3">
      <c r="K809" s="198">
        <f>'DANNO AGGREGATO'!D810</f>
        <v>124151.99738501034</v>
      </c>
      <c r="L809" s="15">
        <f t="shared" si="24"/>
        <v>105034.34882660338</v>
      </c>
      <c r="M809" s="15">
        <f t="shared" si="25"/>
        <v>19117.64855840696</v>
      </c>
    </row>
    <row r="810" spans="11:13" x14ac:dyDescent="0.3">
      <c r="K810" s="198">
        <f>'DANNO AGGREGATO'!D811</f>
        <v>96270.442029375816</v>
      </c>
      <c r="L810" s="15">
        <f t="shared" si="24"/>
        <v>96270.442029375816</v>
      </c>
      <c r="M810" s="15">
        <f t="shared" si="25"/>
        <v>0</v>
      </c>
    </row>
    <row r="811" spans="11:13" x14ac:dyDescent="0.3">
      <c r="K811" s="198">
        <f>'DANNO AGGREGATO'!D812</f>
        <v>93035.068889446862</v>
      </c>
      <c r="L811" s="15">
        <f t="shared" si="24"/>
        <v>93035.068889446862</v>
      </c>
      <c r="M811" s="15">
        <f t="shared" si="25"/>
        <v>0</v>
      </c>
    </row>
    <row r="812" spans="11:13" x14ac:dyDescent="0.3">
      <c r="K812" s="198">
        <f>'DANNO AGGREGATO'!D813</f>
        <v>100637.36040256948</v>
      </c>
      <c r="L812" s="15">
        <f t="shared" si="24"/>
        <v>100637.36040256948</v>
      </c>
      <c r="M812" s="15">
        <f t="shared" si="25"/>
        <v>0</v>
      </c>
    </row>
    <row r="813" spans="11:13" x14ac:dyDescent="0.3">
      <c r="K813" s="198">
        <f>'DANNO AGGREGATO'!D814</f>
        <v>104814.50206280325</v>
      </c>
      <c r="L813" s="15">
        <f t="shared" si="24"/>
        <v>104814.50206280325</v>
      </c>
      <c r="M813" s="15">
        <f t="shared" si="25"/>
        <v>0</v>
      </c>
    </row>
    <row r="814" spans="11:13" x14ac:dyDescent="0.3">
      <c r="K814" s="198">
        <f>'DANNO AGGREGATO'!D815</f>
        <v>111954.31190477812</v>
      </c>
      <c r="L814" s="15">
        <f t="shared" si="24"/>
        <v>105034.34882660338</v>
      </c>
      <c r="M814" s="15">
        <f t="shared" si="25"/>
        <v>6919.9630781747401</v>
      </c>
    </row>
    <row r="815" spans="11:13" x14ac:dyDescent="0.3">
      <c r="K815" s="198">
        <f>'DANNO AGGREGATO'!D816</f>
        <v>70537.1065097955</v>
      </c>
      <c r="L815" s="15">
        <f t="shared" si="24"/>
        <v>70537.1065097955</v>
      </c>
      <c r="M815" s="15">
        <f t="shared" si="25"/>
        <v>0</v>
      </c>
    </row>
    <row r="816" spans="11:13" x14ac:dyDescent="0.3">
      <c r="K816" s="198">
        <f>'DANNO AGGREGATO'!D817</f>
        <v>60595.19648094703</v>
      </c>
      <c r="L816" s="15">
        <f t="shared" si="24"/>
        <v>60595.19648094703</v>
      </c>
      <c r="M816" s="15">
        <f t="shared" si="25"/>
        <v>0</v>
      </c>
    </row>
    <row r="817" spans="11:13" x14ac:dyDescent="0.3">
      <c r="K817" s="198">
        <f>'DANNO AGGREGATO'!D818</f>
        <v>115598.72914837209</v>
      </c>
      <c r="L817" s="15">
        <f t="shared" si="24"/>
        <v>105034.34882660338</v>
      </c>
      <c r="M817" s="15">
        <f t="shared" si="25"/>
        <v>10564.380321768709</v>
      </c>
    </row>
    <row r="818" spans="11:13" x14ac:dyDescent="0.3">
      <c r="K818" s="198">
        <f>'DANNO AGGREGATO'!D819</f>
        <v>72990.994716874571</v>
      </c>
      <c r="L818" s="15">
        <f t="shared" si="24"/>
        <v>72990.994716874571</v>
      </c>
      <c r="M818" s="15">
        <f t="shared" si="25"/>
        <v>0</v>
      </c>
    </row>
    <row r="819" spans="11:13" x14ac:dyDescent="0.3">
      <c r="K819" s="198">
        <f>'DANNO AGGREGATO'!D820</f>
        <v>93029.668608696957</v>
      </c>
      <c r="L819" s="15">
        <f t="shared" si="24"/>
        <v>93029.668608696957</v>
      </c>
      <c r="M819" s="15">
        <f t="shared" si="25"/>
        <v>0</v>
      </c>
    </row>
    <row r="820" spans="11:13" x14ac:dyDescent="0.3">
      <c r="K820" s="198">
        <f>'DANNO AGGREGATO'!D821</f>
        <v>85716.189565186098</v>
      </c>
      <c r="L820" s="15">
        <f t="shared" si="24"/>
        <v>85716.189565186098</v>
      </c>
      <c r="M820" s="15">
        <f t="shared" si="25"/>
        <v>0</v>
      </c>
    </row>
    <row r="821" spans="11:13" x14ac:dyDescent="0.3">
      <c r="K821" s="198">
        <f>'DANNO AGGREGATO'!D822</f>
        <v>93245.376670066165</v>
      </c>
      <c r="L821" s="15">
        <f t="shared" si="24"/>
        <v>93245.376670066165</v>
      </c>
      <c r="M821" s="15">
        <f t="shared" si="25"/>
        <v>0</v>
      </c>
    </row>
    <row r="822" spans="11:13" x14ac:dyDescent="0.3">
      <c r="K822" s="198">
        <f>'DANNO AGGREGATO'!D823</f>
        <v>78938.003593639369</v>
      </c>
      <c r="L822" s="15">
        <f t="shared" si="24"/>
        <v>78938.003593639369</v>
      </c>
      <c r="M822" s="15">
        <f t="shared" si="25"/>
        <v>0</v>
      </c>
    </row>
    <row r="823" spans="11:13" x14ac:dyDescent="0.3">
      <c r="K823" s="198">
        <f>'DANNO AGGREGATO'!D824</f>
        <v>55132.266395301136</v>
      </c>
      <c r="L823" s="15">
        <f t="shared" si="24"/>
        <v>55132.266395301136</v>
      </c>
      <c r="M823" s="15">
        <f t="shared" si="25"/>
        <v>0</v>
      </c>
    </row>
    <row r="824" spans="11:13" x14ac:dyDescent="0.3">
      <c r="K824" s="198">
        <f>'DANNO AGGREGATO'!D825</f>
        <v>97745.312329929322</v>
      </c>
      <c r="L824" s="15">
        <f t="shared" si="24"/>
        <v>97745.312329929322</v>
      </c>
      <c r="M824" s="15">
        <f t="shared" si="25"/>
        <v>0</v>
      </c>
    </row>
    <row r="825" spans="11:13" x14ac:dyDescent="0.3">
      <c r="K825" s="198">
        <f>'DANNO AGGREGATO'!D826</f>
        <v>104443.48141147524</v>
      </c>
      <c r="L825" s="15">
        <f t="shared" si="24"/>
        <v>104443.48141147524</v>
      </c>
      <c r="M825" s="15">
        <f t="shared" si="25"/>
        <v>0</v>
      </c>
    </row>
    <row r="826" spans="11:13" x14ac:dyDescent="0.3">
      <c r="K826" s="198">
        <f>'DANNO AGGREGATO'!D827</f>
        <v>104255.29124155271</v>
      </c>
      <c r="L826" s="15">
        <f t="shared" si="24"/>
        <v>104255.29124155271</v>
      </c>
      <c r="M826" s="15">
        <f t="shared" si="25"/>
        <v>0</v>
      </c>
    </row>
    <row r="827" spans="11:13" x14ac:dyDescent="0.3">
      <c r="K827" s="198">
        <f>'DANNO AGGREGATO'!D828</f>
        <v>106978.65314552789</v>
      </c>
      <c r="L827" s="15">
        <f t="shared" si="24"/>
        <v>105034.34882660338</v>
      </c>
      <c r="M827" s="15">
        <f t="shared" si="25"/>
        <v>1944.3043189245072</v>
      </c>
    </row>
    <row r="828" spans="11:13" x14ac:dyDescent="0.3">
      <c r="K828" s="198">
        <f>'DANNO AGGREGATO'!D829</f>
        <v>121255.47027115797</v>
      </c>
      <c r="L828" s="15">
        <f t="shared" si="24"/>
        <v>105034.34882660338</v>
      </c>
      <c r="M828" s="15">
        <f t="shared" si="25"/>
        <v>16221.121444554592</v>
      </c>
    </row>
    <row r="829" spans="11:13" x14ac:dyDescent="0.3">
      <c r="K829" s="198">
        <f>'DANNO AGGREGATO'!D830</f>
        <v>89939.543443807328</v>
      </c>
      <c r="L829" s="15">
        <f t="shared" si="24"/>
        <v>89939.543443807328</v>
      </c>
      <c r="M829" s="15">
        <f t="shared" si="25"/>
        <v>0</v>
      </c>
    </row>
    <row r="830" spans="11:13" x14ac:dyDescent="0.3">
      <c r="K830" s="198">
        <f>'DANNO AGGREGATO'!D831</f>
        <v>71561.978822964578</v>
      </c>
      <c r="L830" s="15">
        <f t="shared" si="24"/>
        <v>71561.978822964578</v>
      </c>
      <c r="M830" s="15">
        <f t="shared" si="25"/>
        <v>0</v>
      </c>
    </row>
    <row r="831" spans="11:13" x14ac:dyDescent="0.3">
      <c r="K831" s="198">
        <f>'DANNO AGGREGATO'!D832</f>
        <v>94565.566169541329</v>
      </c>
      <c r="L831" s="15">
        <f t="shared" si="24"/>
        <v>94565.566169541329</v>
      </c>
      <c r="M831" s="15">
        <f t="shared" si="25"/>
        <v>0</v>
      </c>
    </row>
    <row r="832" spans="11:13" x14ac:dyDescent="0.3">
      <c r="K832" s="198">
        <f>'DANNO AGGREGATO'!D833</f>
        <v>93763.712897533507</v>
      </c>
      <c r="L832" s="15">
        <f t="shared" si="24"/>
        <v>93763.712897533507</v>
      </c>
      <c r="M832" s="15">
        <f t="shared" si="25"/>
        <v>0</v>
      </c>
    </row>
    <row r="833" spans="11:13" x14ac:dyDescent="0.3">
      <c r="K833" s="198">
        <f>'DANNO AGGREGATO'!D834</f>
        <v>104111.77622913265</v>
      </c>
      <c r="L833" s="15">
        <f t="shared" si="24"/>
        <v>104111.77622913265</v>
      </c>
      <c r="M833" s="15">
        <f t="shared" si="25"/>
        <v>0</v>
      </c>
    </row>
    <row r="834" spans="11:13" x14ac:dyDescent="0.3">
      <c r="K834" s="198">
        <f>'DANNO AGGREGATO'!D835</f>
        <v>112483.14091003728</v>
      </c>
      <c r="L834" s="15">
        <f t="shared" si="24"/>
        <v>105034.34882660338</v>
      </c>
      <c r="M834" s="15">
        <f t="shared" si="25"/>
        <v>7448.792083433902</v>
      </c>
    </row>
    <row r="835" spans="11:13" x14ac:dyDescent="0.3">
      <c r="K835" s="198">
        <f>'DANNO AGGREGATO'!D836</f>
        <v>87706.565209829423</v>
      </c>
      <c r="L835" s="15">
        <f t="shared" ref="L835:L898" si="26">IF(K835&lt;=$B$9,K835,$B$9)</f>
        <v>87706.565209829423</v>
      </c>
      <c r="M835" s="15">
        <f t="shared" ref="M835:M898" si="27">K835-L835</f>
        <v>0</v>
      </c>
    </row>
    <row r="836" spans="11:13" x14ac:dyDescent="0.3">
      <c r="K836" s="198">
        <f>'DANNO AGGREGATO'!D837</f>
        <v>102111.25547511165</v>
      </c>
      <c r="L836" s="15">
        <f t="shared" si="26"/>
        <v>102111.25547511165</v>
      </c>
      <c r="M836" s="15">
        <f t="shared" si="27"/>
        <v>0</v>
      </c>
    </row>
    <row r="837" spans="11:13" x14ac:dyDescent="0.3">
      <c r="K837" s="198">
        <f>'DANNO AGGREGATO'!D838</f>
        <v>109308.09519186454</v>
      </c>
      <c r="L837" s="15">
        <f t="shared" si="26"/>
        <v>105034.34882660338</v>
      </c>
      <c r="M837" s="15">
        <f t="shared" si="27"/>
        <v>4273.7463652611623</v>
      </c>
    </row>
    <row r="838" spans="11:13" x14ac:dyDescent="0.3">
      <c r="K838" s="198">
        <f>'DANNO AGGREGATO'!D839</f>
        <v>87394.217309907006</v>
      </c>
      <c r="L838" s="15">
        <f t="shared" si="26"/>
        <v>87394.217309907006</v>
      </c>
      <c r="M838" s="15">
        <f t="shared" si="27"/>
        <v>0</v>
      </c>
    </row>
    <row r="839" spans="11:13" x14ac:dyDescent="0.3">
      <c r="K839" s="198">
        <f>'DANNO AGGREGATO'!D840</f>
        <v>91461.169141746781</v>
      </c>
      <c r="L839" s="15">
        <f t="shared" si="26"/>
        <v>91461.169141746781</v>
      </c>
      <c r="M839" s="15">
        <f t="shared" si="27"/>
        <v>0</v>
      </c>
    </row>
    <row r="840" spans="11:13" x14ac:dyDescent="0.3">
      <c r="K840" s="198">
        <f>'DANNO AGGREGATO'!D841</f>
        <v>123338.50590327864</v>
      </c>
      <c r="L840" s="15">
        <f t="shared" si="26"/>
        <v>105034.34882660338</v>
      </c>
      <c r="M840" s="15">
        <f t="shared" si="27"/>
        <v>18304.157076675256</v>
      </c>
    </row>
    <row r="841" spans="11:13" x14ac:dyDescent="0.3">
      <c r="K841" s="198">
        <f>'DANNO AGGREGATO'!D842</f>
        <v>88675.043902988706</v>
      </c>
      <c r="L841" s="15">
        <f t="shared" si="26"/>
        <v>88675.043902988706</v>
      </c>
      <c r="M841" s="15">
        <f t="shared" si="27"/>
        <v>0</v>
      </c>
    </row>
    <row r="842" spans="11:13" x14ac:dyDescent="0.3">
      <c r="K842" s="198">
        <f>'DANNO AGGREGATO'!D843</f>
        <v>97616.341926717199</v>
      </c>
      <c r="L842" s="15">
        <f t="shared" si="26"/>
        <v>97616.341926717199</v>
      </c>
      <c r="M842" s="15">
        <f t="shared" si="27"/>
        <v>0</v>
      </c>
    </row>
    <row r="843" spans="11:13" x14ac:dyDescent="0.3">
      <c r="K843" s="198">
        <f>'DANNO AGGREGATO'!D844</f>
        <v>82274.378695210238</v>
      </c>
      <c r="L843" s="15">
        <f t="shared" si="26"/>
        <v>82274.378695210238</v>
      </c>
      <c r="M843" s="15">
        <f t="shared" si="27"/>
        <v>0</v>
      </c>
    </row>
    <row r="844" spans="11:13" x14ac:dyDescent="0.3">
      <c r="K844" s="198">
        <f>'DANNO AGGREGATO'!D845</f>
        <v>77179.469720079825</v>
      </c>
      <c r="L844" s="15">
        <f t="shared" si="26"/>
        <v>77179.469720079825</v>
      </c>
      <c r="M844" s="15">
        <f t="shared" si="27"/>
        <v>0</v>
      </c>
    </row>
    <row r="845" spans="11:13" x14ac:dyDescent="0.3">
      <c r="K845" s="198">
        <f>'DANNO AGGREGATO'!D846</f>
        <v>136277.21895688103</v>
      </c>
      <c r="L845" s="15">
        <f t="shared" si="26"/>
        <v>105034.34882660338</v>
      </c>
      <c r="M845" s="15">
        <f t="shared" si="27"/>
        <v>31242.870130277646</v>
      </c>
    </row>
    <row r="846" spans="11:13" x14ac:dyDescent="0.3">
      <c r="K846" s="198">
        <f>'DANNO AGGREGATO'!D847</f>
        <v>91985.350276770056</v>
      </c>
      <c r="L846" s="15">
        <f t="shared" si="26"/>
        <v>91985.350276770056</v>
      </c>
      <c r="M846" s="15">
        <f t="shared" si="27"/>
        <v>0</v>
      </c>
    </row>
    <row r="847" spans="11:13" x14ac:dyDescent="0.3">
      <c r="K847" s="198">
        <f>'DANNO AGGREGATO'!D848</f>
        <v>48793.885026600125</v>
      </c>
      <c r="L847" s="15">
        <f t="shared" si="26"/>
        <v>48793.885026600125</v>
      </c>
      <c r="M847" s="15">
        <f t="shared" si="27"/>
        <v>0</v>
      </c>
    </row>
    <row r="848" spans="11:13" x14ac:dyDescent="0.3">
      <c r="K848" s="198">
        <f>'DANNO AGGREGATO'!D849</f>
        <v>94665.833598230223</v>
      </c>
      <c r="L848" s="15">
        <f t="shared" si="26"/>
        <v>94665.833598230223</v>
      </c>
      <c r="M848" s="15">
        <f t="shared" si="27"/>
        <v>0</v>
      </c>
    </row>
    <row r="849" spans="11:13" x14ac:dyDescent="0.3">
      <c r="K849" s="198">
        <f>'DANNO AGGREGATO'!D850</f>
        <v>82223.305470037289</v>
      </c>
      <c r="L849" s="15">
        <f t="shared" si="26"/>
        <v>82223.305470037289</v>
      </c>
      <c r="M849" s="15">
        <f t="shared" si="27"/>
        <v>0</v>
      </c>
    </row>
    <row r="850" spans="11:13" x14ac:dyDescent="0.3">
      <c r="K850" s="198">
        <f>'DANNO AGGREGATO'!D851</f>
        <v>88322.588599769078</v>
      </c>
      <c r="L850" s="15">
        <f t="shared" si="26"/>
        <v>88322.588599769078</v>
      </c>
      <c r="M850" s="15">
        <f t="shared" si="27"/>
        <v>0</v>
      </c>
    </row>
    <row r="851" spans="11:13" x14ac:dyDescent="0.3">
      <c r="K851" s="198">
        <f>'DANNO AGGREGATO'!D852</f>
        <v>98051.173469458881</v>
      </c>
      <c r="L851" s="15">
        <f t="shared" si="26"/>
        <v>98051.173469458881</v>
      </c>
      <c r="M851" s="15">
        <f t="shared" si="27"/>
        <v>0</v>
      </c>
    </row>
    <row r="852" spans="11:13" x14ac:dyDescent="0.3">
      <c r="K852" s="198">
        <f>'DANNO AGGREGATO'!D853</f>
        <v>110393.19169130313</v>
      </c>
      <c r="L852" s="15">
        <f t="shared" si="26"/>
        <v>105034.34882660338</v>
      </c>
      <c r="M852" s="15">
        <f t="shared" si="27"/>
        <v>5358.842864699749</v>
      </c>
    </row>
    <row r="853" spans="11:13" x14ac:dyDescent="0.3">
      <c r="K853" s="198">
        <f>'DANNO AGGREGATO'!D854</f>
        <v>77591.428284051566</v>
      </c>
      <c r="L853" s="15">
        <f t="shared" si="26"/>
        <v>77591.428284051566</v>
      </c>
      <c r="M853" s="15">
        <f t="shared" si="27"/>
        <v>0</v>
      </c>
    </row>
    <row r="854" spans="11:13" x14ac:dyDescent="0.3">
      <c r="K854" s="198">
        <f>'DANNO AGGREGATO'!D855</f>
        <v>103068.2483093841</v>
      </c>
      <c r="L854" s="15">
        <f t="shared" si="26"/>
        <v>103068.2483093841</v>
      </c>
      <c r="M854" s="15">
        <f t="shared" si="27"/>
        <v>0</v>
      </c>
    </row>
    <row r="855" spans="11:13" x14ac:dyDescent="0.3">
      <c r="K855" s="198">
        <f>'DANNO AGGREGATO'!D856</f>
        <v>79742.153621179925</v>
      </c>
      <c r="L855" s="15">
        <f t="shared" si="26"/>
        <v>79742.153621179925</v>
      </c>
      <c r="M855" s="15">
        <f t="shared" si="27"/>
        <v>0</v>
      </c>
    </row>
    <row r="856" spans="11:13" x14ac:dyDescent="0.3">
      <c r="K856" s="198">
        <f>'DANNO AGGREGATO'!D857</f>
        <v>115152.92557387846</v>
      </c>
      <c r="L856" s="15">
        <f t="shared" si="26"/>
        <v>105034.34882660338</v>
      </c>
      <c r="M856" s="15">
        <f t="shared" si="27"/>
        <v>10118.576747275074</v>
      </c>
    </row>
    <row r="857" spans="11:13" x14ac:dyDescent="0.3">
      <c r="K857" s="198">
        <f>'DANNO AGGREGATO'!D858</f>
        <v>114771.61414309054</v>
      </c>
      <c r="L857" s="15">
        <f t="shared" si="26"/>
        <v>105034.34882660338</v>
      </c>
      <c r="M857" s="15">
        <f t="shared" si="27"/>
        <v>9737.265316487159</v>
      </c>
    </row>
    <row r="858" spans="11:13" x14ac:dyDescent="0.3">
      <c r="K858" s="198">
        <f>'DANNO AGGREGATO'!D859</f>
        <v>106444.60707413487</v>
      </c>
      <c r="L858" s="15">
        <f t="shared" si="26"/>
        <v>105034.34882660338</v>
      </c>
      <c r="M858" s="15">
        <f t="shared" si="27"/>
        <v>1410.2582475314848</v>
      </c>
    </row>
    <row r="859" spans="11:13" x14ac:dyDescent="0.3">
      <c r="K859" s="198">
        <f>'DANNO AGGREGATO'!D860</f>
        <v>72129.794051410892</v>
      </c>
      <c r="L859" s="15">
        <f t="shared" si="26"/>
        <v>72129.794051410892</v>
      </c>
      <c r="M859" s="15">
        <f t="shared" si="27"/>
        <v>0</v>
      </c>
    </row>
    <row r="860" spans="11:13" x14ac:dyDescent="0.3">
      <c r="K860" s="198">
        <f>'DANNO AGGREGATO'!D861</f>
        <v>61436.133660575128</v>
      </c>
      <c r="L860" s="15">
        <f t="shared" si="26"/>
        <v>61436.133660575128</v>
      </c>
      <c r="M860" s="15">
        <f t="shared" si="27"/>
        <v>0</v>
      </c>
    </row>
    <row r="861" spans="11:13" x14ac:dyDescent="0.3">
      <c r="K861" s="198">
        <f>'DANNO AGGREGATO'!D862</f>
        <v>88344.306889163272</v>
      </c>
      <c r="L861" s="15">
        <f t="shared" si="26"/>
        <v>88344.306889163272</v>
      </c>
      <c r="M861" s="15">
        <f t="shared" si="27"/>
        <v>0</v>
      </c>
    </row>
    <row r="862" spans="11:13" x14ac:dyDescent="0.3">
      <c r="K862" s="198">
        <f>'DANNO AGGREGATO'!D863</f>
        <v>113665.16854087585</v>
      </c>
      <c r="L862" s="15">
        <f t="shared" si="26"/>
        <v>105034.34882660338</v>
      </c>
      <c r="M862" s="15">
        <f t="shared" si="27"/>
        <v>8630.8197142724675</v>
      </c>
    </row>
    <row r="863" spans="11:13" x14ac:dyDescent="0.3">
      <c r="K863" s="198">
        <f>'DANNO AGGREGATO'!D864</f>
        <v>137270.53855339313</v>
      </c>
      <c r="L863" s="15">
        <f t="shared" si="26"/>
        <v>105034.34882660338</v>
      </c>
      <c r="M863" s="15">
        <f t="shared" si="27"/>
        <v>32236.189726789744</v>
      </c>
    </row>
    <row r="864" spans="11:13" x14ac:dyDescent="0.3">
      <c r="K864" s="198">
        <f>'DANNO AGGREGATO'!D865</f>
        <v>78837.615486177747</v>
      </c>
      <c r="L864" s="15">
        <f t="shared" si="26"/>
        <v>78837.615486177747</v>
      </c>
      <c r="M864" s="15">
        <f t="shared" si="27"/>
        <v>0</v>
      </c>
    </row>
    <row r="865" spans="11:13" x14ac:dyDescent="0.3">
      <c r="K865" s="198">
        <f>'DANNO AGGREGATO'!D866</f>
        <v>85711.015046536515</v>
      </c>
      <c r="L865" s="15">
        <f t="shared" si="26"/>
        <v>85711.015046536515</v>
      </c>
      <c r="M865" s="15">
        <f t="shared" si="27"/>
        <v>0</v>
      </c>
    </row>
    <row r="866" spans="11:13" x14ac:dyDescent="0.3">
      <c r="K866" s="198">
        <f>'DANNO AGGREGATO'!D867</f>
        <v>87018.580255911424</v>
      </c>
      <c r="L866" s="15">
        <f t="shared" si="26"/>
        <v>87018.580255911424</v>
      </c>
      <c r="M866" s="15">
        <f t="shared" si="27"/>
        <v>0</v>
      </c>
    </row>
    <row r="867" spans="11:13" x14ac:dyDescent="0.3">
      <c r="K867" s="198">
        <f>'DANNO AGGREGATO'!D868</f>
        <v>112061.42322345094</v>
      </c>
      <c r="L867" s="15">
        <f t="shared" si="26"/>
        <v>105034.34882660338</v>
      </c>
      <c r="M867" s="15">
        <f t="shared" si="27"/>
        <v>7027.0743968475581</v>
      </c>
    </row>
    <row r="868" spans="11:13" x14ac:dyDescent="0.3">
      <c r="K868" s="198">
        <f>'DANNO AGGREGATO'!D869</f>
        <v>94154.529768358989</v>
      </c>
      <c r="L868" s="15">
        <f t="shared" si="26"/>
        <v>94154.529768358989</v>
      </c>
      <c r="M868" s="15">
        <f t="shared" si="27"/>
        <v>0</v>
      </c>
    </row>
    <row r="869" spans="11:13" x14ac:dyDescent="0.3">
      <c r="K869" s="198">
        <f>'DANNO AGGREGATO'!D870</f>
        <v>89295.046978280938</v>
      </c>
      <c r="L869" s="15">
        <f t="shared" si="26"/>
        <v>89295.046978280938</v>
      </c>
      <c r="M869" s="15">
        <f t="shared" si="27"/>
        <v>0</v>
      </c>
    </row>
    <row r="870" spans="11:13" x14ac:dyDescent="0.3">
      <c r="K870" s="198">
        <f>'DANNO AGGREGATO'!D871</f>
        <v>96788.903121961703</v>
      </c>
      <c r="L870" s="15">
        <f t="shared" si="26"/>
        <v>96788.903121961703</v>
      </c>
      <c r="M870" s="15">
        <f t="shared" si="27"/>
        <v>0</v>
      </c>
    </row>
    <row r="871" spans="11:13" x14ac:dyDescent="0.3">
      <c r="K871" s="198">
        <f>'DANNO AGGREGATO'!D872</f>
        <v>103570.86801664828</v>
      </c>
      <c r="L871" s="15">
        <f t="shared" si="26"/>
        <v>103570.86801664828</v>
      </c>
      <c r="M871" s="15">
        <f t="shared" si="27"/>
        <v>0</v>
      </c>
    </row>
    <row r="872" spans="11:13" x14ac:dyDescent="0.3">
      <c r="K872" s="198">
        <f>'DANNO AGGREGATO'!D873</f>
        <v>80929.202774115503</v>
      </c>
      <c r="L872" s="15">
        <f t="shared" si="26"/>
        <v>80929.202774115503</v>
      </c>
      <c r="M872" s="15">
        <f t="shared" si="27"/>
        <v>0</v>
      </c>
    </row>
    <row r="873" spans="11:13" x14ac:dyDescent="0.3">
      <c r="K873" s="198">
        <f>'DANNO AGGREGATO'!D874</f>
        <v>87158.113317375508</v>
      </c>
      <c r="L873" s="15">
        <f t="shared" si="26"/>
        <v>87158.113317375508</v>
      </c>
      <c r="M873" s="15">
        <f t="shared" si="27"/>
        <v>0</v>
      </c>
    </row>
    <row r="874" spans="11:13" x14ac:dyDescent="0.3">
      <c r="K874" s="198">
        <f>'DANNO AGGREGATO'!D875</f>
        <v>76052.779278857633</v>
      </c>
      <c r="L874" s="15">
        <f t="shared" si="26"/>
        <v>76052.779278857633</v>
      </c>
      <c r="M874" s="15">
        <f t="shared" si="27"/>
        <v>0</v>
      </c>
    </row>
    <row r="875" spans="11:13" x14ac:dyDescent="0.3">
      <c r="K875" s="198">
        <f>'DANNO AGGREGATO'!D876</f>
        <v>80175.97418918465</v>
      </c>
      <c r="L875" s="15">
        <f t="shared" si="26"/>
        <v>80175.97418918465</v>
      </c>
      <c r="M875" s="15">
        <f t="shared" si="27"/>
        <v>0</v>
      </c>
    </row>
    <row r="876" spans="11:13" x14ac:dyDescent="0.3">
      <c r="K876" s="198">
        <f>'DANNO AGGREGATO'!D877</f>
        <v>89545.330410053735</v>
      </c>
      <c r="L876" s="15">
        <f t="shared" si="26"/>
        <v>89545.330410053735</v>
      </c>
      <c r="M876" s="15">
        <f t="shared" si="27"/>
        <v>0</v>
      </c>
    </row>
    <row r="877" spans="11:13" x14ac:dyDescent="0.3">
      <c r="K877" s="198">
        <f>'DANNO AGGREGATO'!D878</f>
        <v>106581.23423942114</v>
      </c>
      <c r="L877" s="15">
        <f t="shared" si="26"/>
        <v>105034.34882660338</v>
      </c>
      <c r="M877" s="15">
        <f t="shared" si="27"/>
        <v>1546.8854128177627</v>
      </c>
    </row>
    <row r="878" spans="11:13" x14ac:dyDescent="0.3">
      <c r="K878" s="198">
        <f>'DANNO AGGREGATO'!D879</f>
        <v>128227.95068269769</v>
      </c>
      <c r="L878" s="15">
        <f t="shared" si="26"/>
        <v>105034.34882660338</v>
      </c>
      <c r="M878" s="15">
        <f t="shared" si="27"/>
        <v>23193.601856094305</v>
      </c>
    </row>
    <row r="879" spans="11:13" x14ac:dyDescent="0.3">
      <c r="K879" s="198">
        <f>'DANNO AGGREGATO'!D880</f>
        <v>103200.16478772258</v>
      </c>
      <c r="L879" s="15">
        <f t="shared" si="26"/>
        <v>103200.16478772258</v>
      </c>
      <c r="M879" s="15">
        <f t="shared" si="27"/>
        <v>0</v>
      </c>
    </row>
    <row r="880" spans="11:13" x14ac:dyDescent="0.3">
      <c r="K880" s="198">
        <f>'DANNO AGGREGATO'!D881</f>
        <v>117219.68409542994</v>
      </c>
      <c r="L880" s="15">
        <f t="shared" si="26"/>
        <v>105034.34882660338</v>
      </c>
      <c r="M880" s="15">
        <f t="shared" si="27"/>
        <v>12185.335268826559</v>
      </c>
    </row>
    <row r="881" spans="11:13" x14ac:dyDescent="0.3">
      <c r="K881" s="198">
        <f>'DANNO AGGREGATO'!D882</f>
        <v>129125.83624972551</v>
      </c>
      <c r="L881" s="15">
        <f t="shared" si="26"/>
        <v>105034.34882660338</v>
      </c>
      <c r="M881" s="15">
        <f t="shared" si="27"/>
        <v>24091.487423122133</v>
      </c>
    </row>
    <row r="882" spans="11:13" x14ac:dyDescent="0.3">
      <c r="K882" s="198">
        <f>'DANNO AGGREGATO'!D883</f>
        <v>86864.214953779156</v>
      </c>
      <c r="L882" s="15">
        <f t="shared" si="26"/>
        <v>86864.214953779156</v>
      </c>
      <c r="M882" s="15">
        <f t="shared" si="27"/>
        <v>0</v>
      </c>
    </row>
    <row r="883" spans="11:13" x14ac:dyDescent="0.3">
      <c r="K883" s="198">
        <f>'DANNO AGGREGATO'!D884</f>
        <v>100219.0117295731</v>
      </c>
      <c r="L883" s="15">
        <f t="shared" si="26"/>
        <v>100219.0117295731</v>
      </c>
      <c r="M883" s="15">
        <f t="shared" si="27"/>
        <v>0</v>
      </c>
    </row>
    <row r="884" spans="11:13" x14ac:dyDescent="0.3">
      <c r="K884" s="198">
        <f>'DANNO AGGREGATO'!D885</f>
        <v>102748.56320324045</v>
      </c>
      <c r="L884" s="15">
        <f t="shared" si="26"/>
        <v>102748.56320324045</v>
      </c>
      <c r="M884" s="15">
        <f t="shared" si="27"/>
        <v>0</v>
      </c>
    </row>
    <row r="885" spans="11:13" x14ac:dyDescent="0.3">
      <c r="K885" s="198">
        <f>'DANNO AGGREGATO'!D886</f>
        <v>86301.195386909254</v>
      </c>
      <c r="L885" s="15">
        <f t="shared" si="26"/>
        <v>86301.195386909254</v>
      </c>
      <c r="M885" s="15">
        <f t="shared" si="27"/>
        <v>0</v>
      </c>
    </row>
    <row r="886" spans="11:13" x14ac:dyDescent="0.3">
      <c r="K886" s="198">
        <f>'DANNO AGGREGATO'!D887</f>
        <v>88440.658205233442</v>
      </c>
      <c r="L886" s="15">
        <f t="shared" si="26"/>
        <v>88440.658205233442</v>
      </c>
      <c r="M886" s="15">
        <f t="shared" si="27"/>
        <v>0</v>
      </c>
    </row>
    <row r="887" spans="11:13" x14ac:dyDescent="0.3">
      <c r="K887" s="198">
        <f>'DANNO AGGREGATO'!D888</f>
        <v>81948.813217540548</v>
      </c>
      <c r="L887" s="15">
        <f t="shared" si="26"/>
        <v>81948.813217540548</v>
      </c>
      <c r="M887" s="15">
        <f t="shared" si="27"/>
        <v>0</v>
      </c>
    </row>
    <row r="888" spans="11:13" x14ac:dyDescent="0.3">
      <c r="K888" s="198">
        <f>'DANNO AGGREGATO'!D889</f>
        <v>116271.81697164416</v>
      </c>
      <c r="L888" s="15">
        <f t="shared" si="26"/>
        <v>105034.34882660338</v>
      </c>
      <c r="M888" s="15">
        <f t="shared" si="27"/>
        <v>11237.468145040781</v>
      </c>
    </row>
    <row r="889" spans="11:13" x14ac:dyDescent="0.3">
      <c r="K889" s="198">
        <f>'DANNO AGGREGATO'!D890</f>
        <v>92910.68972056752</v>
      </c>
      <c r="L889" s="15">
        <f t="shared" si="26"/>
        <v>92910.68972056752</v>
      </c>
      <c r="M889" s="15">
        <f t="shared" si="27"/>
        <v>0</v>
      </c>
    </row>
    <row r="890" spans="11:13" x14ac:dyDescent="0.3">
      <c r="K890" s="198">
        <f>'DANNO AGGREGATO'!D891</f>
        <v>91320.408774355368</v>
      </c>
      <c r="L890" s="15">
        <f t="shared" si="26"/>
        <v>91320.408774355368</v>
      </c>
      <c r="M890" s="15">
        <f t="shared" si="27"/>
        <v>0</v>
      </c>
    </row>
    <row r="891" spans="11:13" x14ac:dyDescent="0.3">
      <c r="K891" s="198">
        <f>'DANNO AGGREGATO'!D892</f>
        <v>86641.09006192215</v>
      </c>
      <c r="L891" s="15">
        <f t="shared" si="26"/>
        <v>86641.09006192215</v>
      </c>
      <c r="M891" s="15">
        <f t="shared" si="27"/>
        <v>0</v>
      </c>
    </row>
    <row r="892" spans="11:13" x14ac:dyDescent="0.3">
      <c r="K892" s="198">
        <f>'DANNO AGGREGATO'!D893</f>
        <v>86534.914155217935</v>
      </c>
      <c r="L892" s="15">
        <f t="shared" si="26"/>
        <v>86534.914155217935</v>
      </c>
      <c r="M892" s="15">
        <f t="shared" si="27"/>
        <v>0</v>
      </c>
    </row>
    <row r="893" spans="11:13" x14ac:dyDescent="0.3">
      <c r="K893" s="198">
        <f>'DANNO AGGREGATO'!D894</f>
        <v>93062.462856108556</v>
      </c>
      <c r="L893" s="15">
        <f t="shared" si="26"/>
        <v>93062.462856108556</v>
      </c>
      <c r="M893" s="15">
        <f t="shared" si="27"/>
        <v>0</v>
      </c>
    </row>
    <row r="894" spans="11:13" x14ac:dyDescent="0.3">
      <c r="K894" s="198">
        <f>'DANNO AGGREGATO'!D895</f>
        <v>93375.95899940659</v>
      </c>
      <c r="L894" s="15">
        <f t="shared" si="26"/>
        <v>93375.95899940659</v>
      </c>
      <c r="M894" s="15">
        <f t="shared" si="27"/>
        <v>0</v>
      </c>
    </row>
    <row r="895" spans="11:13" x14ac:dyDescent="0.3">
      <c r="K895" s="198">
        <f>'DANNO AGGREGATO'!D896</f>
        <v>121835.67280239445</v>
      </c>
      <c r="L895" s="15">
        <f t="shared" si="26"/>
        <v>105034.34882660338</v>
      </c>
      <c r="M895" s="15">
        <f t="shared" si="27"/>
        <v>16801.323975791063</v>
      </c>
    </row>
    <row r="896" spans="11:13" x14ac:dyDescent="0.3">
      <c r="K896" s="198">
        <f>'DANNO AGGREGATO'!D897</f>
        <v>100475.10896924671</v>
      </c>
      <c r="L896" s="15">
        <f t="shared" si="26"/>
        <v>100475.10896924671</v>
      </c>
      <c r="M896" s="15">
        <f t="shared" si="27"/>
        <v>0</v>
      </c>
    </row>
    <row r="897" spans="11:13" x14ac:dyDescent="0.3">
      <c r="K897" s="198">
        <f>'DANNO AGGREGATO'!D898</f>
        <v>111637.47820201056</v>
      </c>
      <c r="L897" s="15">
        <f t="shared" si="26"/>
        <v>105034.34882660338</v>
      </c>
      <c r="M897" s="15">
        <f t="shared" si="27"/>
        <v>6603.1293754071812</v>
      </c>
    </row>
    <row r="898" spans="11:13" x14ac:dyDescent="0.3">
      <c r="K898" s="198">
        <f>'DANNO AGGREGATO'!D899</f>
        <v>107504.88506124614</v>
      </c>
      <c r="L898" s="15">
        <f t="shared" si="26"/>
        <v>105034.34882660338</v>
      </c>
      <c r="M898" s="15">
        <f t="shared" si="27"/>
        <v>2470.5362346427573</v>
      </c>
    </row>
    <row r="899" spans="11:13" x14ac:dyDescent="0.3">
      <c r="K899" s="198">
        <f>'DANNO AGGREGATO'!D900</f>
        <v>54245.06443309848</v>
      </c>
      <c r="L899" s="15">
        <f t="shared" ref="L899:L962" si="28">IF(K899&lt;=$B$9,K899,$B$9)</f>
        <v>54245.06443309848</v>
      </c>
      <c r="M899" s="15">
        <f t="shared" ref="M899:M962" si="29">K899-L899</f>
        <v>0</v>
      </c>
    </row>
    <row r="900" spans="11:13" x14ac:dyDescent="0.3">
      <c r="K900" s="198">
        <f>'DANNO AGGREGATO'!D901</f>
        <v>89492.303921134109</v>
      </c>
      <c r="L900" s="15">
        <f t="shared" si="28"/>
        <v>89492.303921134109</v>
      </c>
      <c r="M900" s="15">
        <f t="shared" si="29"/>
        <v>0</v>
      </c>
    </row>
    <row r="901" spans="11:13" x14ac:dyDescent="0.3">
      <c r="K901" s="198">
        <f>'DANNO AGGREGATO'!D902</f>
        <v>118743.99875910301</v>
      </c>
      <c r="L901" s="15">
        <f t="shared" si="28"/>
        <v>105034.34882660338</v>
      </c>
      <c r="M901" s="15">
        <f t="shared" si="29"/>
        <v>13709.649932499626</v>
      </c>
    </row>
    <row r="902" spans="11:13" x14ac:dyDescent="0.3">
      <c r="K902" s="198">
        <f>'DANNO AGGREGATO'!D903</f>
        <v>98595.801739836694</v>
      </c>
      <c r="L902" s="15">
        <f t="shared" si="28"/>
        <v>98595.801739836694</v>
      </c>
      <c r="M902" s="15">
        <f t="shared" si="29"/>
        <v>0</v>
      </c>
    </row>
    <row r="903" spans="11:13" x14ac:dyDescent="0.3">
      <c r="K903" s="198">
        <f>'DANNO AGGREGATO'!D904</f>
        <v>91720.395470319199</v>
      </c>
      <c r="L903" s="15">
        <f t="shared" si="28"/>
        <v>91720.395470319199</v>
      </c>
      <c r="M903" s="15">
        <f t="shared" si="29"/>
        <v>0</v>
      </c>
    </row>
    <row r="904" spans="11:13" x14ac:dyDescent="0.3">
      <c r="K904" s="198">
        <f>'DANNO AGGREGATO'!D905</f>
        <v>79387.076314107209</v>
      </c>
      <c r="L904" s="15">
        <f t="shared" si="28"/>
        <v>79387.076314107209</v>
      </c>
      <c r="M904" s="15">
        <f t="shared" si="29"/>
        <v>0</v>
      </c>
    </row>
    <row r="905" spans="11:13" x14ac:dyDescent="0.3">
      <c r="K905" s="198">
        <f>'DANNO AGGREGATO'!D906</f>
        <v>85579.392389832239</v>
      </c>
      <c r="L905" s="15">
        <f t="shared" si="28"/>
        <v>85579.392389832239</v>
      </c>
      <c r="M905" s="15">
        <f t="shared" si="29"/>
        <v>0</v>
      </c>
    </row>
    <row r="906" spans="11:13" x14ac:dyDescent="0.3">
      <c r="K906" s="198">
        <f>'DANNO AGGREGATO'!D907</f>
        <v>94650.991047137664</v>
      </c>
      <c r="L906" s="15">
        <f t="shared" si="28"/>
        <v>94650.991047137664</v>
      </c>
      <c r="M906" s="15">
        <f t="shared" si="29"/>
        <v>0</v>
      </c>
    </row>
    <row r="907" spans="11:13" x14ac:dyDescent="0.3">
      <c r="K907" s="198">
        <f>'DANNO AGGREGATO'!D908</f>
        <v>125703.79962132925</v>
      </c>
      <c r="L907" s="15">
        <f t="shared" si="28"/>
        <v>105034.34882660338</v>
      </c>
      <c r="M907" s="15">
        <f t="shared" si="29"/>
        <v>20669.450794725868</v>
      </c>
    </row>
    <row r="908" spans="11:13" x14ac:dyDescent="0.3">
      <c r="K908" s="198">
        <f>'DANNO AGGREGATO'!D909</f>
        <v>68399.522982319439</v>
      </c>
      <c r="L908" s="15">
        <f t="shared" si="28"/>
        <v>68399.522982319439</v>
      </c>
      <c r="M908" s="15">
        <f t="shared" si="29"/>
        <v>0</v>
      </c>
    </row>
    <row r="909" spans="11:13" x14ac:dyDescent="0.3">
      <c r="K909" s="198">
        <f>'DANNO AGGREGATO'!D910</f>
        <v>106915.72900631487</v>
      </c>
      <c r="L909" s="15">
        <f t="shared" si="28"/>
        <v>105034.34882660338</v>
      </c>
      <c r="M909" s="15">
        <f t="shared" si="29"/>
        <v>1881.3801797114866</v>
      </c>
    </row>
    <row r="910" spans="11:13" x14ac:dyDescent="0.3">
      <c r="K910" s="198">
        <f>'DANNO AGGREGATO'!D911</f>
        <v>67787.858339473823</v>
      </c>
      <c r="L910" s="15">
        <f t="shared" si="28"/>
        <v>67787.858339473823</v>
      </c>
      <c r="M910" s="15">
        <f t="shared" si="29"/>
        <v>0</v>
      </c>
    </row>
    <row r="911" spans="11:13" x14ac:dyDescent="0.3">
      <c r="K911" s="198">
        <f>'DANNO AGGREGATO'!D912</f>
        <v>94467.028149522564</v>
      </c>
      <c r="L911" s="15">
        <f t="shared" si="28"/>
        <v>94467.028149522564</v>
      </c>
      <c r="M911" s="15">
        <f t="shared" si="29"/>
        <v>0</v>
      </c>
    </row>
    <row r="912" spans="11:13" x14ac:dyDescent="0.3">
      <c r="K912" s="198">
        <f>'DANNO AGGREGATO'!D913</f>
        <v>101494.232474552</v>
      </c>
      <c r="L912" s="15">
        <f t="shared" si="28"/>
        <v>101494.232474552</v>
      </c>
      <c r="M912" s="15">
        <f t="shared" si="29"/>
        <v>0</v>
      </c>
    </row>
    <row r="913" spans="11:13" x14ac:dyDescent="0.3">
      <c r="K913" s="198">
        <f>'DANNO AGGREGATO'!D914</f>
        <v>108747.29663238772</v>
      </c>
      <c r="L913" s="15">
        <f t="shared" si="28"/>
        <v>105034.34882660338</v>
      </c>
      <c r="M913" s="15">
        <f t="shared" si="29"/>
        <v>3712.9478057843371</v>
      </c>
    </row>
    <row r="914" spans="11:13" x14ac:dyDescent="0.3">
      <c r="K914" s="198">
        <f>'DANNO AGGREGATO'!D915</f>
        <v>97599.367814394223</v>
      </c>
      <c r="L914" s="15">
        <f t="shared" si="28"/>
        <v>97599.367814394223</v>
      </c>
      <c r="M914" s="15">
        <f t="shared" si="29"/>
        <v>0</v>
      </c>
    </row>
    <row r="915" spans="11:13" x14ac:dyDescent="0.3">
      <c r="K915" s="198">
        <f>'DANNO AGGREGATO'!D916</f>
        <v>105292.17891183584</v>
      </c>
      <c r="L915" s="15">
        <f t="shared" si="28"/>
        <v>105034.34882660338</v>
      </c>
      <c r="M915" s="15">
        <f t="shared" si="29"/>
        <v>257.83008523246099</v>
      </c>
    </row>
    <row r="916" spans="11:13" x14ac:dyDescent="0.3">
      <c r="K916" s="198">
        <f>'DANNO AGGREGATO'!D917</f>
        <v>103007.76857127655</v>
      </c>
      <c r="L916" s="15">
        <f t="shared" si="28"/>
        <v>103007.76857127655</v>
      </c>
      <c r="M916" s="15">
        <f t="shared" si="29"/>
        <v>0</v>
      </c>
    </row>
    <row r="917" spans="11:13" x14ac:dyDescent="0.3">
      <c r="K917" s="198">
        <f>'DANNO AGGREGATO'!D918</f>
        <v>73539.604733321874</v>
      </c>
      <c r="L917" s="15">
        <f t="shared" si="28"/>
        <v>73539.604733321874</v>
      </c>
      <c r="M917" s="15">
        <f t="shared" si="29"/>
        <v>0</v>
      </c>
    </row>
    <row r="918" spans="11:13" x14ac:dyDescent="0.3">
      <c r="K918" s="198">
        <f>'DANNO AGGREGATO'!D919</f>
        <v>135884.32516571417</v>
      </c>
      <c r="L918" s="15">
        <f t="shared" si="28"/>
        <v>105034.34882660338</v>
      </c>
      <c r="M918" s="15">
        <f t="shared" si="29"/>
        <v>30849.976339110784</v>
      </c>
    </row>
    <row r="919" spans="11:13" x14ac:dyDescent="0.3">
      <c r="K919" s="198">
        <f>'DANNO AGGREGATO'!D920</f>
        <v>118720.70848682626</v>
      </c>
      <c r="L919" s="15">
        <f t="shared" si="28"/>
        <v>105034.34882660338</v>
      </c>
      <c r="M919" s="15">
        <f t="shared" si="29"/>
        <v>13686.359660222879</v>
      </c>
    </row>
    <row r="920" spans="11:13" x14ac:dyDescent="0.3">
      <c r="K920" s="198">
        <f>'DANNO AGGREGATO'!D921</f>
        <v>65492.79027226066</v>
      </c>
      <c r="L920" s="15">
        <f t="shared" si="28"/>
        <v>65492.79027226066</v>
      </c>
      <c r="M920" s="15">
        <f t="shared" si="29"/>
        <v>0</v>
      </c>
    </row>
    <row r="921" spans="11:13" x14ac:dyDescent="0.3">
      <c r="K921" s="198">
        <f>'DANNO AGGREGATO'!D922</f>
        <v>73762.953654850629</v>
      </c>
      <c r="L921" s="15">
        <f t="shared" si="28"/>
        <v>73762.953654850629</v>
      </c>
      <c r="M921" s="15">
        <f t="shared" si="29"/>
        <v>0</v>
      </c>
    </row>
    <row r="922" spans="11:13" x14ac:dyDescent="0.3">
      <c r="K922" s="198">
        <f>'DANNO AGGREGATO'!D923</f>
        <v>101820.17738065739</v>
      </c>
      <c r="L922" s="15">
        <f t="shared" si="28"/>
        <v>101820.17738065739</v>
      </c>
      <c r="M922" s="15">
        <f t="shared" si="29"/>
        <v>0</v>
      </c>
    </row>
    <row r="923" spans="11:13" x14ac:dyDescent="0.3">
      <c r="K923" s="198">
        <f>'DANNO AGGREGATO'!D924</f>
        <v>63404.31884368731</v>
      </c>
      <c r="L923" s="15">
        <f t="shared" si="28"/>
        <v>63404.31884368731</v>
      </c>
      <c r="M923" s="15">
        <f t="shared" si="29"/>
        <v>0</v>
      </c>
    </row>
    <row r="924" spans="11:13" x14ac:dyDescent="0.3">
      <c r="K924" s="198">
        <f>'DANNO AGGREGATO'!D925</f>
        <v>93878.54700047923</v>
      </c>
      <c r="L924" s="15">
        <f t="shared" si="28"/>
        <v>93878.54700047923</v>
      </c>
      <c r="M924" s="15">
        <f t="shared" si="29"/>
        <v>0</v>
      </c>
    </row>
    <row r="925" spans="11:13" x14ac:dyDescent="0.3">
      <c r="K925" s="198">
        <f>'DANNO AGGREGATO'!D926</f>
        <v>100522.96871824126</v>
      </c>
      <c r="L925" s="15">
        <f t="shared" si="28"/>
        <v>100522.96871824126</v>
      </c>
      <c r="M925" s="15">
        <f t="shared" si="29"/>
        <v>0</v>
      </c>
    </row>
    <row r="926" spans="11:13" x14ac:dyDescent="0.3">
      <c r="K926" s="198">
        <f>'DANNO AGGREGATO'!D927</f>
        <v>120037.27409610979</v>
      </c>
      <c r="L926" s="15">
        <f t="shared" si="28"/>
        <v>105034.34882660338</v>
      </c>
      <c r="M926" s="15">
        <f t="shared" si="29"/>
        <v>15002.925269506406</v>
      </c>
    </row>
    <row r="927" spans="11:13" x14ac:dyDescent="0.3">
      <c r="K927" s="198">
        <f>'DANNO AGGREGATO'!D928</f>
        <v>116961.61949426422</v>
      </c>
      <c r="L927" s="15">
        <f t="shared" si="28"/>
        <v>105034.34882660338</v>
      </c>
      <c r="M927" s="15">
        <f t="shared" si="29"/>
        <v>11927.270667660836</v>
      </c>
    </row>
    <row r="928" spans="11:13" x14ac:dyDescent="0.3">
      <c r="K928" s="198">
        <f>'DANNO AGGREGATO'!D929</f>
        <v>75123.398415942283</v>
      </c>
      <c r="L928" s="15">
        <f t="shared" si="28"/>
        <v>75123.398415942283</v>
      </c>
      <c r="M928" s="15">
        <f t="shared" si="29"/>
        <v>0</v>
      </c>
    </row>
    <row r="929" spans="11:13" x14ac:dyDescent="0.3">
      <c r="K929" s="198">
        <f>'DANNO AGGREGATO'!D930</f>
        <v>112643.55611640937</v>
      </c>
      <c r="L929" s="15">
        <f t="shared" si="28"/>
        <v>105034.34882660338</v>
      </c>
      <c r="M929" s="15">
        <f t="shared" si="29"/>
        <v>7609.2072898059851</v>
      </c>
    </row>
    <row r="930" spans="11:13" x14ac:dyDescent="0.3">
      <c r="K930" s="198">
        <f>'DANNO AGGREGATO'!D931</f>
        <v>90205.929454732439</v>
      </c>
      <c r="L930" s="15">
        <f t="shared" si="28"/>
        <v>90205.929454732439</v>
      </c>
      <c r="M930" s="15">
        <f t="shared" si="29"/>
        <v>0</v>
      </c>
    </row>
    <row r="931" spans="11:13" x14ac:dyDescent="0.3">
      <c r="K931" s="198">
        <f>'DANNO AGGREGATO'!D932</f>
        <v>103605.28251746231</v>
      </c>
      <c r="L931" s="15">
        <f t="shared" si="28"/>
        <v>103605.28251746231</v>
      </c>
      <c r="M931" s="15">
        <f t="shared" si="29"/>
        <v>0</v>
      </c>
    </row>
    <row r="932" spans="11:13" x14ac:dyDescent="0.3">
      <c r="K932" s="198">
        <f>'DANNO AGGREGATO'!D933</f>
        <v>90045.555288288349</v>
      </c>
      <c r="L932" s="15">
        <f t="shared" si="28"/>
        <v>90045.555288288349</v>
      </c>
      <c r="M932" s="15">
        <f t="shared" si="29"/>
        <v>0</v>
      </c>
    </row>
    <row r="933" spans="11:13" x14ac:dyDescent="0.3">
      <c r="K933" s="198">
        <f>'DANNO AGGREGATO'!D934</f>
        <v>86252.993439298079</v>
      </c>
      <c r="L933" s="15">
        <f t="shared" si="28"/>
        <v>86252.993439298079</v>
      </c>
      <c r="M933" s="15">
        <f t="shared" si="29"/>
        <v>0</v>
      </c>
    </row>
    <row r="934" spans="11:13" x14ac:dyDescent="0.3">
      <c r="K934" s="198">
        <f>'DANNO AGGREGATO'!D935</f>
        <v>89827.551539557142</v>
      </c>
      <c r="L934" s="15">
        <f t="shared" si="28"/>
        <v>89827.551539557142</v>
      </c>
      <c r="M934" s="15">
        <f t="shared" si="29"/>
        <v>0</v>
      </c>
    </row>
    <row r="935" spans="11:13" x14ac:dyDescent="0.3">
      <c r="K935" s="198">
        <f>'DANNO AGGREGATO'!D936</f>
        <v>81078.271969006251</v>
      </c>
      <c r="L935" s="15">
        <f t="shared" si="28"/>
        <v>81078.271969006251</v>
      </c>
      <c r="M935" s="15">
        <f t="shared" si="29"/>
        <v>0</v>
      </c>
    </row>
    <row r="936" spans="11:13" x14ac:dyDescent="0.3">
      <c r="K936" s="198">
        <f>'DANNO AGGREGATO'!D937</f>
        <v>133101.17516338525</v>
      </c>
      <c r="L936" s="15">
        <f t="shared" si="28"/>
        <v>105034.34882660338</v>
      </c>
      <c r="M936" s="15">
        <f t="shared" si="29"/>
        <v>28066.826336781873</v>
      </c>
    </row>
    <row r="937" spans="11:13" x14ac:dyDescent="0.3">
      <c r="K937" s="198">
        <f>'DANNO AGGREGATO'!D938</f>
        <v>112794.92075037204</v>
      </c>
      <c r="L937" s="15">
        <f t="shared" si="28"/>
        <v>105034.34882660338</v>
      </c>
      <c r="M937" s="15">
        <f t="shared" si="29"/>
        <v>7760.5719237686571</v>
      </c>
    </row>
    <row r="938" spans="11:13" x14ac:dyDescent="0.3">
      <c r="K938" s="198">
        <f>'DANNO AGGREGATO'!D939</f>
        <v>116499.19487182696</v>
      </c>
      <c r="L938" s="15">
        <f t="shared" si="28"/>
        <v>105034.34882660338</v>
      </c>
      <c r="M938" s="15">
        <f t="shared" si="29"/>
        <v>11464.846045223574</v>
      </c>
    </row>
    <row r="939" spans="11:13" x14ac:dyDescent="0.3">
      <c r="K939" s="198">
        <f>'DANNO AGGREGATO'!D940</f>
        <v>95327.128096016138</v>
      </c>
      <c r="L939" s="15">
        <f t="shared" si="28"/>
        <v>95327.128096016138</v>
      </c>
      <c r="M939" s="15">
        <f t="shared" si="29"/>
        <v>0</v>
      </c>
    </row>
    <row r="940" spans="11:13" x14ac:dyDescent="0.3">
      <c r="K940" s="198">
        <f>'DANNO AGGREGATO'!D941</f>
        <v>82525.367867612687</v>
      </c>
      <c r="L940" s="15">
        <f t="shared" si="28"/>
        <v>82525.367867612687</v>
      </c>
      <c r="M940" s="15">
        <f t="shared" si="29"/>
        <v>0</v>
      </c>
    </row>
    <row r="941" spans="11:13" x14ac:dyDescent="0.3">
      <c r="K941" s="198">
        <f>'DANNO AGGREGATO'!D942</f>
        <v>101568.36961441954</v>
      </c>
      <c r="L941" s="15">
        <f t="shared" si="28"/>
        <v>101568.36961441954</v>
      </c>
      <c r="M941" s="15">
        <f t="shared" si="29"/>
        <v>0</v>
      </c>
    </row>
    <row r="942" spans="11:13" x14ac:dyDescent="0.3">
      <c r="K942" s="198">
        <f>'DANNO AGGREGATO'!D943</f>
        <v>91316.792287487624</v>
      </c>
      <c r="L942" s="15">
        <f t="shared" si="28"/>
        <v>91316.792287487624</v>
      </c>
      <c r="M942" s="15">
        <f t="shared" si="29"/>
        <v>0</v>
      </c>
    </row>
    <row r="943" spans="11:13" x14ac:dyDescent="0.3">
      <c r="K943" s="198">
        <f>'DANNO AGGREGATO'!D944</f>
        <v>106419.63890366269</v>
      </c>
      <c r="L943" s="15">
        <f t="shared" si="28"/>
        <v>105034.34882660338</v>
      </c>
      <c r="M943" s="15">
        <f t="shared" si="29"/>
        <v>1385.2900770593114</v>
      </c>
    </row>
    <row r="944" spans="11:13" x14ac:dyDescent="0.3">
      <c r="K944" s="198">
        <f>'DANNO AGGREGATO'!D945</f>
        <v>80548.277985898938</v>
      </c>
      <c r="L944" s="15">
        <f t="shared" si="28"/>
        <v>80548.277985898938</v>
      </c>
      <c r="M944" s="15">
        <f t="shared" si="29"/>
        <v>0</v>
      </c>
    </row>
    <row r="945" spans="11:13" x14ac:dyDescent="0.3">
      <c r="K945" s="198">
        <f>'DANNO AGGREGATO'!D946</f>
        <v>84676.398567025593</v>
      </c>
      <c r="L945" s="15">
        <f t="shared" si="28"/>
        <v>84676.398567025593</v>
      </c>
      <c r="M945" s="15">
        <f t="shared" si="29"/>
        <v>0</v>
      </c>
    </row>
    <row r="946" spans="11:13" x14ac:dyDescent="0.3">
      <c r="K946" s="198">
        <f>'DANNO AGGREGATO'!D947</f>
        <v>95910.975299128462</v>
      </c>
      <c r="L946" s="15">
        <f t="shared" si="28"/>
        <v>95910.975299128462</v>
      </c>
      <c r="M946" s="15">
        <f t="shared" si="29"/>
        <v>0</v>
      </c>
    </row>
    <row r="947" spans="11:13" x14ac:dyDescent="0.3">
      <c r="K947" s="198">
        <f>'DANNO AGGREGATO'!D948</f>
        <v>120690.44851733913</v>
      </c>
      <c r="L947" s="15">
        <f t="shared" si="28"/>
        <v>105034.34882660338</v>
      </c>
      <c r="M947" s="15">
        <f t="shared" si="29"/>
        <v>15656.099690735748</v>
      </c>
    </row>
    <row r="948" spans="11:13" x14ac:dyDescent="0.3">
      <c r="K948" s="198">
        <f>'DANNO AGGREGATO'!D949</f>
        <v>93860.963835204733</v>
      </c>
      <c r="L948" s="15">
        <f t="shared" si="28"/>
        <v>93860.963835204733</v>
      </c>
      <c r="M948" s="15">
        <f t="shared" si="29"/>
        <v>0</v>
      </c>
    </row>
    <row r="949" spans="11:13" x14ac:dyDescent="0.3">
      <c r="K949" s="198">
        <f>'DANNO AGGREGATO'!D950</f>
        <v>93855.634611533344</v>
      </c>
      <c r="L949" s="15">
        <f t="shared" si="28"/>
        <v>93855.634611533344</v>
      </c>
      <c r="M949" s="15">
        <f t="shared" si="29"/>
        <v>0</v>
      </c>
    </row>
    <row r="950" spans="11:13" x14ac:dyDescent="0.3">
      <c r="K950" s="198">
        <f>'DANNO AGGREGATO'!D951</f>
        <v>94683.698903114957</v>
      </c>
      <c r="L950" s="15">
        <f t="shared" si="28"/>
        <v>94683.698903114957</v>
      </c>
      <c r="M950" s="15">
        <f t="shared" si="29"/>
        <v>0</v>
      </c>
    </row>
    <row r="951" spans="11:13" x14ac:dyDescent="0.3">
      <c r="K951" s="198">
        <f>'DANNO AGGREGATO'!D952</f>
        <v>85475.180415432056</v>
      </c>
      <c r="L951" s="15">
        <f t="shared" si="28"/>
        <v>85475.180415432056</v>
      </c>
      <c r="M951" s="15">
        <f t="shared" si="29"/>
        <v>0</v>
      </c>
    </row>
    <row r="952" spans="11:13" x14ac:dyDescent="0.3">
      <c r="K952" s="198">
        <f>'DANNO AGGREGATO'!D953</f>
        <v>77324.094178980013</v>
      </c>
      <c r="L952" s="15">
        <f t="shared" si="28"/>
        <v>77324.094178980013</v>
      </c>
      <c r="M952" s="15">
        <f t="shared" si="29"/>
        <v>0</v>
      </c>
    </row>
    <row r="953" spans="11:13" x14ac:dyDescent="0.3">
      <c r="K953" s="198">
        <f>'DANNO AGGREGATO'!D954</f>
        <v>96235.764826582803</v>
      </c>
      <c r="L953" s="15">
        <f t="shared" si="28"/>
        <v>96235.764826582803</v>
      </c>
      <c r="M953" s="15">
        <f t="shared" si="29"/>
        <v>0</v>
      </c>
    </row>
    <row r="954" spans="11:13" x14ac:dyDescent="0.3">
      <c r="K954" s="198">
        <f>'DANNO AGGREGATO'!D955</f>
        <v>99421.262486830674</v>
      </c>
      <c r="L954" s="15">
        <f t="shared" si="28"/>
        <v>99421.262486830674</v>
      </c>
      <c r="M954" s="15">
        <f t="shared" si="29"/>
        <v>0</v>
      </c>
    </row>
    <row r="955" spans="11:13" x14ac:dyDescent="0.3">
      <c r="K955" s="198">
        <f>'DANNO AGGREGATO'!D956</f>
        <v>86072.454883469385</v>
      </c>
      <c r="L955" s="15">
        <f t="shared" si="28"/>
        <v>86072.454883469385</v>
      </c>
      <c r="M955" s="15">
        <f t="shared" si="29"/>
        <v>0</v>
      </c>
    </row>
    <row r="956" spans="11:13" x14ac:dyDescent="0.3">
      <c r="K956" s="198">
        <f>'DANNO AGGREGATO'!D957</f>
        <v>68660.582297090383</v>
      </c>
      <c r="L956" s="15">
        <f t="shared" si="28"/>
        <v>68660.582297090383</v>
      </c>
      <c r="M956" s="15">
        <f t="shared" si="29"/>
        <v>0</v>
      </c>
    </row>
    <row r="957" spans="11:13" x14ac:dyDescent="0.3">
      <c r="K957" s="198">
        <f>'DANNO AGGREGATO'!D958</f>
        <v>86312.422696335532</v>
      </c>
      <c r="L957" s="15">
        <f t="shared" si="28"/>
        <v>86312.422696335532</v>
      </c>
      <c r="M957" s="15">
        <f t="shared" si="29"/>
        <v>0</v>
      </c>
    </row>
    <row r="958" spans="11:13" x14ac:dyDescent="0.3">
      <c r="K958" s="198">
        <f>'DANNO AGGREGATO'!D959</f>
        <v>94940.46449892383</v>
      </c>
      <c r="L958" s="15">
        <f t="shared" si="28"/>
        <v>94940.46449892383</v>
      </c>
      <c r="M958" s="15">
        <f t="shared" si="29"/>
        <v>0</v>
      </c>
    </row>
    <row r="959" spans="11:13" x14ac:dyDescent="0.3">
      <c r="K959" s="198">
        <f>'DANNO AGGREGATO'!D960</f>
        <v>92170.969284320774</v>
      </c>
      <c r="L959" s="15">
        <f t="shared" si="28"/>
        <v>92170.969284320774</v>
      </c>
      <c r="M959" s="15">
        <f t="shared" si="29"/>
        <v>0</v>
      </c>
    </row>
    <row r="960" spans="11:13" x14ac:dyDescent="0.3">
      <c r="K960" s="198">
        <f>'DANNO AGGREGATO'!D961</f>
        <v>86020.772319033073</v>
      </c>
      <c r="L960" s="15">
        <f t="shared" si="28"/>
        <v>86020.772319033073</v>
      </c>
      <c r="M960" s="15">
        <f t="shared" si="29"/>
        <v>0</v>
      </c>
    </row>
    <row r="961" spans="11:13" x14ac:dyDescent="0.3">
      <c r="K961" s="198">
        <f>'DANNO AGGREGATO'!D962</f>
        <v>99116.271007119023</v>
      </c>
      <c r="L961" s="15">
        <f t="shared" si="28"/>
        <v>99116.271007119023</v>
      </c>
      <c r="M961" s="15">
        <f t="shared" si="29"/>
        <v>0</v>
      </c>
    </row>
    <row r="962" spans="11:13" x14ac:dyDescent="0.3">
      <c r="K962" s="198">
        <f>'DANNO AGGREGATO'!D963</f>
        <v>115373.71109846808</v>
      </c>
      <c r="L962" s="15">
        <f t="shared" si="28"/>
        <v>105034.34882660338</v>
      </c>
      <c r="M962" s="15">
        <f t="shared" si="29"/>
        <v>10339.362271864695</v>
      </c>
    </row>
    <row r="963" spans="11:13" x14ac:dyDescent="0.3">
      <c r="K963" s="198">
        <f>'DANNO AGGREGATO'!D964</f>
        <v>75659.785830799548</v>
      </c>
      <c r="L963" s="15">
        <f t="shared" ref="L963:L1001" si="30">IF(K963&lt;=$B$9,K963,$B$9)</f>
        <v>75659.785830799548</v>
      </c>
      <c r="M963" s="15">
        <f t="shared" ref="M963:M1001" si="31">K963-L963</f>
        <v>0</v>
      </c>
    </row>
    <row r="964" spans="11:13" x14ac:dyDescent="0.3">
      <c r="K964" s="198">
        <f>'DANNO AGGREGATO'!D965</f>
        <v>87679.600927008738</v>
      </c>
      <c r="L964" s="15">
        <f t="shared" si="30"/>
        <v>87679.600927008738</v>
      </c>
      <c r="M964" s="15">
        <f t="shared" si="31"/>
        <v>0</v>
      </c>
    </row>
    <row r="965" spans="11:13" x14ac:dyDescent="0.3">
      <c r="K965" s="198">
        <f>'DANNO AGGREGATO'!D966</f>
        <v>120472.02378660081</v>
      </c>
      <c r="L965" s="15">
        <f t="shared" si="30"/>
        <v>105034.34882660338</v>
      </c>
      <c r="M965" s="15">
        <f t="shared" si="31"/>
        <v>15437.674959997428</v>
      </c>
    </row>
    <row r="966" spans="11:13" x14ac:dyDescent="0.3">
      <c r="K966" s="198">
        <f>'DANNO AGGREGATO'!D967</f>
        <v>102783.36129824063</v>
      </c>
      <c r="L966" s="15">
        <f t="shared" si="30"/>
        <v>102783.36129824063</v>
      </c>
      <c r="M966" s="15">
        <f t="shared" si="31"/>
        <v>0</v>
      </c>
    </row>
    <row r="967" spans="11:13" x14ac:dyDescent="0.3">
      <c r="K967" s="198">
        <f>'DANNO AGGREGATO'!D968</f>
        <v>94754.106150974942</v>
      </c>
      <c r="L967" s="15">
        <f t="shared" si="30"/>
        <v>94754.106150974942</v>
      </c>
      <c r="M967" s="15">
        <f t="shared" si="31"/>
        <v>0</v>
      </c>
    </row>
    <row r="968" spans="11:13" x14ac:dyDescent="0.3">
      <c r="K968" s="198">
        <f>'DANNO AGGREGATO'!D969</f>
        <v>110324.45377838089</v>
      </c>
      <c r="L968" s="15">
        <f t="shared" si="30"/>
        <v>105034.34882660338</v>
      </c>
      <c r="M968" s="15">
        <f t="shared" si="31"/>
        <v>5290.10495177751</v>
      </c>
    </row>
    <row r="969" spans="11:13" x14ac:dyDescent="0.3">
      <c r="K969" s="198">
        <f>'DANNO AGGREGATO'!D970</f>
        <v>109578.55429146021</v>
      </c>
      <c r="L969" s="15">
        <f t="shared" si="30"/>
        <v>105034.34882660338</v>
      </c>
      <c r="M969" s="15">
        <f t="shared" si="31"/>
        <v>4544.2054648568301</v>
      </c>
    </row>
    <row r="970" spans="11:13" x14ac:dyDescent="0.3">
      <c r="K970" s="198">
        <f>'DANNO AGGREGATO'!D971</f>
        <v>82028.124815418108</v>
      </c>
      <c r="L970" s="15">
        <f t="shared" si="30"/>
        <v>82028.124815418108</v>
      </c>
      <c r="M970" s="15">
        <f t="shared" si="31"/>
        <v>0</v>
      </c>
    </row>
    <row r="971" spans="11:13" x14ac:dyDescent="0.3">
      <c r="K971" s="198">
        <f>'DANNO AGGREGATO'!D972</f>
        <v>102900.36243904382</v>
      </c>
      <c r="L971" s="15">
        <f t="shared" si="30"/>
        <v>102900.36243904382</v>
      </c>
      <c r="M971" s="15">
        <f t="shared" si="31"/>
        <v>0</v>
      </c>
    </row>
    <row r="972" spans="11:13" x14ac:dyDescent="0.3">
      <c r="K972" s="198">
        <f>'DANNO AGGREGATO'!D973</f>
        <v>84980.932774975256</v>
      </c>
      <c r="L972" s="15">
        <f t="shared" si="30"/>
        <v>84980.932774975256</v>
      </c>
      <c r="M972" s="15">
        <f t="shared" si="31"/>
        <v>0</v>
      </c>
    </row>
    <row r="973" spans="11:13" x14ac:dyDescent="0.3">
      <c r="K973" s="198">
        <f>'DANNO AGGREGATO'!D974</f>
        <v>82979.936060652122</v>
      </c>
      <c r="L973" s="15">
        <f t="shared" si="30"/>
        <v>82979.936060652122</v>
      </c>
      <c r="M973" s="15">
        <f t="shared" si="31"/>
        <v>0</v>
      </c>
    </row>
    <row r="974" spans="11:13" x14ac:dyDescent="0.3">
      <c r="K974" s="198">
        <f>'DANNO AGGREGATO'!D975</f>
        <v>103384.88721734233</v>
      </c>
      <c r="L974" s="15">
        <f t="shared" si="30"/>
        <v>103384.88721734233</v>
      </c>
      <c r="M974" s="15">
        <f t="shared" si="31"/>
        <v>0</v>
      </c>
    </row>
    <row r="975" spans="11:13" x14ac:dyDescent="0.3">
      <c r="K975" s="198">
        <f>'DANNO AGGREGATO'!D976</f>
        <v>86187.892000816486</v>
      </c>
      <c r="L975" s="15">
        <f t="shared" si="30"/>
        <v>86187.892000816486</v>
      </c>
      <c r="M975" s="15">
        <f t="shared" si="31"/>
        <v>0</v>
      </c>
    </row>
    <row r="976" spans="11:13" x14ac:dyDescent="0.3">
      <c r="K976" s="198">
        <f>'DANNO AGGREGATO'!D977</f>
        <v>141286.02353511265</v>
      </c>
      <c r="L976" s="15">
        <f t="shared" si="30"/>
        <v>105034.34882660338</v>
      </c>
      <c r="M976" s="15">
        <f t="shared" si="31"/>
        <v>36251.674708509265</v>
      </c>
    </row>
    <row r="977" spans="11:13" x14ac:dyDescent="0.3">
      <c r="K977" s="198">
        <f>'DANNO AGGREGATO'!D978</f>
        <v>146885.63812399621</v>
      </c>
      <c r="L977" s="15">
        <f t="shared" si="30"/>
        <v>105034.34882660338</v>
      </c>
      <c r="M977" s="15">
        <f t="shared" si="31"/>
        <v>41851.289297392825</v>
      </c>
    </row>
    <row r="978" spans="11:13" x14ac:dyDescent="0.3">
      <c r="K978" s="198">
        <f>'DANNO AGGREGATO'!D979</f>
        <v>106563.84937108884</v>
      </c>
      <c r="L978" s="15">
        <f t="shared" si="30"/>
        <v>105034.34882660338</v>
      </c>
      <c r="M978" s="15">
        <f t="shared" si="31"/>
        <v>1529.5005444854614</v>
      </c>
    </row>
    <row r="979" spans="11:13" x14ac:dyDescent="0.3">
      <c r="K979" s="198">
        <f>'DANNO AGGREGATO'!D980</f>
        <v>77093.62934384642</v>
      </c>
      <c r="L979" s="15">
        <f t="shared" si="30"/>
        <v>77093.62934384642</v>
      </c>
      <c r="M979" s="15">
        <f t="shared" si="31"/>
        <v>0</v>
      </c>
    </row>
    <row r="980" spans="11:13" x14ac:dyDescent="0.3">
      <c r="K980" s="198">
        <f>'DANNO AGGREGATO'!D981</f>
        <v>98163.800651464568</v>
      </c>
      <c r="L980" s="15">
        <f t="shared" si="30"/>
        <v>98163.800651464568</v>
      </c>
      <c r="M980" s="15">
        <f t="shared" si="31"/>
        <v>0</v>
      </c>
    </row>
    <row r="981" spans="11:13" x14ac:dyDescent="0.3">
      <c r="K981" s="198">
        <f>'DANNO AGGREGATO'!D982</f>
        <v>92745.362902270892</v>
      </c>
      <c r="L981" s="15">
        <f t="shared" si="30"/>
        <v>92745.362902270892</v>
      </c>
      <c r="M981" s="15">
        <f t="shared" si="31"/>
        <v>0</v>
      </c>
    </row>
    <row r="982" spans="11:13" x14ac:dyDescent="0.3">
      <c r="K982" s="198">
        <f>'DANNO AGGREGATO'!D983</f>
        <v>73328.464961299149</v>
      </c>
      <c r="L982" s="15">
        <f t="shared" si="30"/>
        <v>73328.464961299149</v>
      </c>
      <c r="M982" s="15">
        <f t="shared" si="31"/>
        <v>0</v>
      </c>
    </row>
    <row r="983" spans="11:13" x14ac:dyDescent="0.3">
      <c r="K983" s="198">
        <f>'DANNO AGGREGATO'!D984</f>
        <v>85998.13450020914</v>
      </c>
      <c r="L983" s="15">
        <f t="shared" si="30"/>
        <v>85998.13450020914</v>
      </c>
      <c r="M983" s="15">
        <f t="shared" si="31"/>
        <v>0</v>
      </c>
    </row>
    <row r="984" spans="11:13" x14ac:dyDescent="0.3">
      <c r="K984" s="198">
        <f>'DANNO AGGREGATO'!D985</f>
        <v>95106.589457180249</v>
      </c>
      <c r="L984" s="15">
        <f t="shared" si="30"/>
        <v>95106.589457180249</v>
      </c>
      <c r="M984" s="15">
        <f t="shared" si="31"/>
        <v>0</v>
      </c>
    </row>
    <row r="985" spans="11:13" x14ac:dyDescent="0.3">
      <c r="K985" s="198">
        <f>'DANNO AGGREGATO'!D986</f>
        <v>76592.305398877375</v>
      </c>
      <c r="L985" s="15">
        <f t="shared" si="30"/>
        <v>76592.305398877375</v>
      </c>
      <c r="M985" s="15">
        <f t="shared" si="31"/>
        <v>0</v>
      </c>
    </row>
    <row r="986" spans="11:13" x14ac:dyDescent="0.3">
      <c r="K986" s="198">
        <f>'DANNO AGGREGATO'!D987</f>
        <v>105031.6893839238</v>
      </c>
      <c r="L986" s="15">
        <f t="shared" si="30"/>
        <v>105031.6893839238</v>
      </c>
      <c r="M986" s="15">
        <f t="shared" si="31"/>
        <v>0</v>
      </c>
    </row>
    <row r="987" spans="11:13" x14ac:dyDescent="0.3">
      <c r="K987" s="198">
        <f>'DANNO AGGREGATO'!D988</f>
        <v>91712.465978251217</v>
      </c>
      <c r="L987" s="15">
        <f t="shared" si="30"/>
        <v>91712.465978251217</v>
      </c>
      <c r="M987" s="15">
        <f t="shared" si="31"/>
        <v>0</v>
      </c>
    </row>
    <row r="988" spans="11:13" x14ac:dyDescent="0.3">
      <c r="K988" s="198">
        <f>'DANNO AGGREGATO'!D989</f>
        <v>75779.792775837646</v>
      </c>
      <c r="L988" s="15">
        <f t="shared" si="30"/>
        <v>75779.792775837646</v>
      </c>
      <c r="M988" s="15">
        <f t="shared" si="31"/>
        <v>0</v>
      </c>
    </row>
    <row r="989" spans="11:13" x14ac:dyDescent="0.3">
      <c r="K989" s="198">
        <f>'DANNO AGGREGATO'!D990</f>
        <v>105422.48620263478</v>
      </c>
      <c r="L989" s="15">
        <f t="shared" si="30"/>
        <v>105034.34882660338</v>
      </c>
      <c r="M989" s="15">
        <f t="shared" si="31"/>
        <v>388.1373760314018</v>
      </c>
    </row>
    <row r="990" spans="11:13" x14ac:dyDescent="0.3">
      <c r="K990" s="198">
        <f>'DANNO AGGREGATO'!D991</f>
        <v>119076.85155083716</v>
      </c>
      <c r="L990" s="15">
        <f t="shared" si="30"/>
        <v>105034.34882660338</v>
      </c>
      <c r="M990" s="15">
        <f t="shared" si="31"/>
        <v>14042.502724233782</v>
      </c>
    </row>
    <row r="991" spans="11:13" x14ac:dyDescent="0.3">
      <c r="K991" s="198">
        <f>'DANNO AGGREGATO'!D992</f>
        <v>139123.70355921006</v>
      </c>
      <c r="L991" s="15">
        <f t="shared" si="30"/>
        <v>105034.34882660338</v>
      </c>
      <c r="M991" s="15">
        <f t="shared" si="31"/>
        <v>34089.354732606676</v>
      </c>
    </row>
    <row r="992" spans="11:13" x14ac:dyDescent="0.3">
      <c r="K992" s="198">
        <f>'DANNO AGGREGATO'!D993</f>
        <v>96105.092616552109</v>
      </c>
      <c r="L992" s="15">
        <f t="shared" si="30"/>
        <v>96105.092616552109</v>
      </c>
      <c r="M992" s="15">
        <f t="shared" si="31"/>
        <v>0</v>
      </c>
    </row>
    <row r="993" spans="11:13" x14ac:dyDescent="0.3">
      <c r="K993" s="198">
        <f>'DANNO AGGREGATO'!D994</f>
        <v>60663.822171072345</v>
      </c>
      <c r="L993" s="15">
        <f t="shared" si="30"/>
        <v>60663.822171072345</v>
      </c>
      <c r="M993" s="15">
        <f t="shared" si="31"/>
        <v>0</v>
      </c>
    </row>
    <row r="994" spans="11:13" x14ac:dyDescent="0.3">
      <c r="K994" s="198">
        <f>'DANNO AGGREGATO'!D995</f>
        <v>108882.38942526866</v>
      </c>
      <c r="L994" s="15">
        <f t="shared" si="30"/>
        <v>105034.34882660338</v>
      </c>
      <c r="M994" s="15">
        <f t="shared" si="31"/>
        <v>3848.0405986652768</v>
      </c>
    </row>
    <row r="995" spans="11:13" x14ac:dyDescent="0.3">
      <c r="K995" s="198">
        <f>'DANNO AGGREGATO'!D996</f>
        <v>106519.83164714472</v>
      </c>
      <c r="L995" s="15">
        <f t="shared" si="30"/>
        <v>105034.34882660338</v>
      </c>
      <c r="M995" s="15">
        <f t="shared" si="31"/>
        <v>1485.482820541336</v>
      </c>
    </row>
    <row r="996" spans="11:13" x14ac:dyDescent="0.3">
      <c r="K996" s="198">
        <f>'DANNO AGGREGATO'!D997</f>
        <v>86084.29477909347</v>
      </c>
      <c r="L996" s="15">
        <f t="shared" si="30"/>
        <v>86084.29477909347</v>
      </c>
      <c r="M996" s="15">
        <f t="shared" si="31"/>
        <v>0</v>
      </c>
    </row>
    <row r="997" spans="11:13" x14ac:dyDescent="0.3">
      <c r="K997" s="198">
        <f>'DANNO AGGREGATO'!D998</f>
        <v>102000.11818650617</v>
      </c>
      <c r="L997" s="15">
        <f t="shared" si="30"/>
        <v>102000.11818650617</v>
      </c>
      <c r="M997" s="15">
        <f t="shared" si="31"/>
        <v>0</v>
      </c>
    </row>
    <row r="998" spans="11:13" x14ac:dyDescent="0.3">
      <c r="K998" s="198">
        <f>'DANNO AGGREGATO'!D999</f>
        <v>81001.383913558209</v>
      </c>
      <c r="L998" s="15">
        <f t="shared" si="30"/>
        <v>81001.383913558209</v>
      </c>
      <c r="M998" s="15">
        <f t="shared" si="31"/>
        <v>0</v>
      </c>
    </row>
    <row r="999" spans="11:13" x14ac:dyDescent="0.3">
      <c r="K999" s="198">
        <f>'DANNO AGGREGATO'!D1000</f>
        <v>87595.52448604966</v>
      </c>
      <c r="L999" s="15">
        <f t="shared" si="30"/>
        <v>87595.52448604966</v>
      </c>
      <c r="M999" s="15">
        <f t="shared" si="31"/>
        <v>0</v>
      </c>
    </row>
    <row r="1000" spans="11:13" x14ac:dyDescent="0.3">
      <c r="K1000" s="198">
        <f>'DANNO AGGREGATO'!D1001</f>
        <v>68141.669256498339</v>
      </c>
      <c r="L1000" s="15">
        <f t="shared" si="30"/>
        <v>68141.669256498339</v>
      </c>
      <c r="M1000" s="15">
        <f t="shared" si="31"/>
        <v>0</v>
      </c>
    </row>
    <row r="1001" spans="11:13" x14ac:dyDescent="0.3">
      <c r="K1001" s="198">
        <f>'DANNO AGGREGATO'!D1002</f>
        <v>97790.895165483817</v>
      </c>
      <c r="L1001" s="15">
        <f t="shared" si="30"/>
        <v>97790.895165483817</v>
      </c>
      <c r="M1001" s="15">
        <f t="shared" si="31"/>
        <v>0</v>
      </c>
    </row>
  </sheetData>
  <mergeCells count="1">
    <mergeCell ref="B1:E1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289AE-E70E-4CD1-8DD6-BC57574D8733}">
  <sheetPr codeName="Foglio8"/>
  <dimension ref="B1:P29"/>
  <sheetViews>
    <sheetView showGridLines="0" topLeftCell="C13" zoomScale="85" zoomScaleNormal="85" workbookViewId="0">
      <selection activeCell="F29" sqref="F29"/>
    </sheetView>
  </sheetViews>
  <sheetFormatPr defaultColWidth="8.77734375" defaultRowHeight="16.2" customHeight="1" x14ac:dyDescent="0.3"/>
  <cols>
    <col min="1" max="2" width="8" style="210" customWidth="1"/>
    <col min="3" max="3" width="27.6640625" style="210" bestFit="1" customWidth="1"/>
    <col min="4" max="12" width="17" style="210" customWidth="1"/>
    <col min="13" max="13" width="12.21875" style="210" bestFit="1" customWidth="1"/>
    <col min="14" max="14" width="3.21875" style="210" customWidth="1"/>
    <col min="15" max="15" width="26.21875" style="210" customWidth="1"/>
    <col min="16" max="17" width="26" style="210" customWidth="1"/>
    <col min="18" max="24" width="11.77734375" style="210" customWidth="1"/>
    <col min="25" max="16384" width="8.77734375" style="210"/>
  </cols>
  <sheetData>
    <row r="1" spans="2:16" ht="16.2" customHeight="1" x14ac:dyDescent="0.3">
      <c r="P1" s="213" t="e">
        <f>+#REF!=SUM(#REF!)</f>
        <v>#REF!</v>
      </c>
    </row>
    <row r="2" spans="2:16" ht="16.2" customHeight="1" x14ac:dyDescent="0.3">
      <c r="C2" s="211" t="s">
        <v>155</v>
      </c>
    </row>
    <row r="3" spans="2:16" ht="16.2" customHeight="1" x14ac:dyDescent="0.3">
      <c r="C3" s="211"/>
    </row>
    <row r="4" spans="2:16" ht="16.2" customHeight="1" x14ac:dyDescent="0.3">
      <c r="C4" s="212" t="s">
        <v>156</v>
      </c>
      <c r="D4" s="212">
        <v>1</v>
      </c>
      <c r="E4" s="212">
        <f t="shared" ref="E4:L4" si="0">D4+1</f>
        <v>2</v>
      </c>
      <c r="F4" s="212">
        <f t="shared" si="0"/>
        <v>3</v>
      </c>
      <c r="G4" s="212">
        <f t="shared" si="0"/>
        <v>4</v>
      </c>
      <c r="H4" s="212">
        <f t="shared" si="0"/>
        <v>5</v>
      </c>
      <c r="I4" s="212">
        <f t="shared" si="0"/>
        <v>6</v>
      </c>
      <c r="J4" s="212">
        <f t="shared" si="0"/>
        <v>7</v>
      </c>
      <c r="K4" s="212">
        <f t="shared" si="0"/>
        <v>8</v>
      </c>
      <c r="L4" s="212">
        <f t="shared" si="0"/>
        <v>9</v>
      </c>
      <c r="M4" s="211"/>
    </row>
    <row r="5" spans="2:16" ht="16.2" customHeight="1" x14ac:dyDescent="0.3">
      <c r="C5" s="212" t="s">
        <v>157</v>
      </c>
      <c r="D5" s="214">
        <v>-4.2100000000000002E-3</v>
      </c>
      <c r="E5" s="214">
        <v>-3.9100000000000003E-3</v>
      </c>
      <c r="F5" s="214">
        <v>-3.3800000000000002E-3</v>
      </c>
      <c r="G5" s="214">
        <v>-2.8500000000000001E-3</v>
      </c>
      <c r="H5" s="214">
        <v>-2.2899999999999999E-3</v>
      </c>
      <c r="I5" s="214">
        <v>-1.64E-3</v>
      </c>
      <c r="J5" s="214">
        <v>-8.4000000000000003E-4</v>
      </c>
      <c r="K5" s="214">
        <v>-1.8000000000000001E-4</v>
      </c>
      <c r="L5" s="214">
        <v>4.6999999999999999E-4</v>
      </c>
      <c r="M5" s="215"/>
    </row>
    <row r="6" spans="2:16" ht="16.2" customHeight="1" x14ac:dyDescent="0.3">
      <c r="C6" s="216"/>
      <c r="D6" s="216"/>
      <c r="E6" s="216"/>
      <c r="F6" s="216"/>
      <c r="G6" s="216"/>
      <c r="H6" s="216"/>
      <c r="I6" s="216"/>
      <c r="J6" s="216"/>
      <c r="K6" s="216"/>
    </row>
    <row r="7" spans="2:16" ht="16.2" customHeight="1" x14ac:dyDescent="0.3">
      <c r="C7" s="217" t="s">
        <v>158</v>
      </c>
    </row>
    <row r="8" spans="2:16" ht="16.2" customHeight="1" x14ac:dyDescent="0.3">
      <c r="C8" s="211"/>
    </row>
    <row r="9" spans="2:16" ht="16.2" customHeight="1" x14ac:dyDescent="0.3">
      <c r="B9" s="211"/>
      <c r="C9" s="212" t="s">
        <v>156</v>
      </c>
      <c r="D9" s="212">
        <v>1</v>
      </c>
      <c r="E9" s="212">
        <f t="shared" ref="E9:L9" si="1">D9+1</f>
        <v>2</v>
      </c>
      <c r="F9" s="212">
        <f t="shared" si="1"/>
        <v>3</v>
      </c>
      <c r="G9" s="212">
        <f t="shared" si="1"/>
        <v>4</v>
      </c>
      <c r="H9" s="212">
        <f t="shared" si="1"/>
        <v>5</v>
      </c>
      <c r="I9" s="212">
        <f t="shared" si="1"/>
        <v>6</v>
      </c>
      <c r="J9" s="212">
        <f t="shared" si="1"/>
        <v>7</v>
      </c>
      <c r="K9" s="212">
        <f t="shared" si="1"/>
        <v>8</v>
      </c>
      <c r="L9" s="212">
        <f t="shared" si="1"/>
        <v>9</v>
      </c>
      <c r="M9" s="211"/>
    </row>
    <row r="10" spans="2:16" ht="16.2" customHeight="1" x14ac:dyDescent="0.3">
      <c r="C10" s="212" t="s">
        <v>159</v>
      </c>
      <c r="D10" s="214">
        <f>1/((1+D5)^D9)</f>
        <v>1.004227799033933</v>
      </c>
      <c r="E10" s="214">
        <f t="shared" ref="E10:L10" si="2">1/((1+E5)^E9)</f>
        <v>1.0078661045800223</v>
      </c>
      <c r="F10" s="214">
        <f t="shared" si="2"/>
        <v>1.01020893451178</v>
      </c>
      <c r="G10" s="214">
        <f t="shared" si="2"/>
        <v>1.0114816903021999</v>
      </c>
      <c r="H10" s="214">
        <f t="shared" si="2"/>
        <v>1.0115290837476214</v>
      </c>
      <c r="I10" s="214">
        <f t="shared" si="2"/>
        <v>1.0098967295273398</v>
      </c>
      <c r="J10" s="214">
        <f t="shared" si="2"/>
        <v>1.0058998066918823</v>
      </c>
      <c r="K10" s="214">
        <f t="shared" si="2"/>
        <v>1.0014411671001862</v>
      </c>
      <c r="L10" s="214">
        <f t="shared" si="2"/>
        <v>0.9957799233933301</v>
      </c>
      <c r="M10" s="218"/>
    </row>
    <row r="11" spans="2:16" ht="16.2" customHeight="1" x14ac:dyDescent="0.3">
      <c r="C11" s="216"/>
      <c r="D11" s="216"/>
      <c r="E11" s="216"/>
      <c r="F11" s="216"/>
      <c r="G11" s="216"/>
      <c r="H11" s="216"/>
      <c r="I11" s="216"/>
      <c r="J11" s="216"/>
      <c r="K11" s="216"/>
    </row>
    <row r="13" spans="2:16" ht="16.2" customHeight="1" x14ac:dyDescent="0.3">
      <c r="C13" s="211"/>
    </row>
    <row r="15" spans="2:16" ht="16.2" customHeight="1" x14ac:dyDescent="0.3">
      <c r="C15" s="212" t="s">
        <v>156</v>
      </c>
      <c r="D15" s="212">
        <v>1</v>
      </c>
      <c r="E15" s="212">
        <f t="shared" ref="E15:L15" si="3">D15+1</f>
        <v>2</v>
      </c>
      <c r="F15" s="212">
        <f t="shared" si="3"/>
        <v>3</v>
      </c>
      <c r="G15" s="212">
        <f t="shared" si="3"/>
        <v>4</v>
      </c>
      <c r="H15" s="212">
        <f t="shared" si="3"/>
        <v>5</v>
      </c>
      <c r="I15" s="212">
        <f t="shared" si="3"/>
        <v>6</v>
      </c>
      <c r="J15" s="212">
        <f t="shared" si="3"/>
        <v>7</v>
      </c>
      <c r="K15" s="212">
        <f t="shared" si="3"/>
        <v>8</v>
      </c>
      <c r="L15" s="212">
        <f t="shared" si="3"/>
        <v>9</v>
      </c>
    </row>
    <row r="16" spans="2:16" ht="16.2" customHeight="1" x14ac:dyDescent="0.3">
      <c r="C16" s="212" t="s">
        <v>160</v>
      </c>
      <c r="D16" s="214">
        <v>0.27684362940421858</v>
      </c>
      <c r="E16" s="214">
        <v>0.30952696504053556</v>
      </c>
      <c r="F16" s="214">
        <v>0.12959593400452243</v>
      </c>
      <c r="G16" s="214">
        <v>7.10897319686494E-2</v>
      </c>
      <c r="H16" s="214">
        <v>5.621278142876604E-2</v>
      </c>
      <c r="I16" s="214">
        <v>3.4167307316371742E-2</v>
      </c>
      <c r="J16" s="214">
        <v>4.4364210690376264E-2</v>
      </c>
      <c r="K16" s="214">
        <v>2.5055938807210285E-2</v>
      </c>
      <c r="L16" s="214">
        <v>5.3143501339350314E-2</v>
      </c>
    </row>
    <row r="17" spans="3:12" ht="16.2" customHeight="1" x14ac:dyDescent="0.3">
      <c r="C17" s="212" t="s">
        <v>161</v>
      </c>
      <c r="D17" s="219">
        <f>SUM(D16:$L$16)</f>
        <v>1.0000000000000007</v>
      </c>
      <c r="E17" s="219"/>
      <c r="F17" s="219"/>
      <c r="G17" s="219"/>
      <c r="H17" s="219"/>
      <c r="I17" s="219"/>
      <c r="J17" s="219"/>
      <c r="K17" s="219"/>
      <c r="L17" s="219"/>
    </row>
    <row r="18" spans="3:12" ht="16.2" customHeight="1" x14ac:dyDescent="0.3">
      <c r="C18" s="220" t="s">
        <v>162</v>
      </c>
      <c r="D18" s="223">
        <f>'XL AGGREGATE'!H14</f>
        <v>33673.356220387825</v>
      </c>
      <c r="E18" s="221"/>
      <c r="F18" s="221"/>
      <c r="G18" s="221"/>
      <c r="H18" s="221"/>
      <c r="I18" s="221"/>
      <c r="J18" s="221"/>
      <c r="K18" s="221"/>
      <c r="L18" s="221"/>
    </row>
    <row r="19" spans="3:12" ht="16.2" customHeight="1" x14ac:dyDescent="0.3">
      <c r="C19" s="220" t="s">
        <v>163</v>
      </c>
      <c r="D19" s="223">
        <f>'XL AGGREGATE'!G14</f>
        <v>3828.8459677127394</v>
      </c>
      <c r="E19" s="221"/>
      <c r="F19" s="221"/>
      <c r="G19" s="221"/>
      <c r="H19" s="221"/>
      <c r="I19" s="221"/>
      <c r="J19" s="221"/>
      <c r="K19" s="221"/>
      <c r="L19" s="221"/>
    </row>
    <row r="20" spans="3:12" ht="16.2" customHeight="1" x14ac:dyDescent="0.3">
      <c r="C20" s="220" t="s">
        <v>164</v>
      </c>
      <c r="D20" s="223">
        <f>'XL AGGREGATE'!H15</f>
        <v>37199.073666477445</v>
      </c>
      <c r="E20" s="221"/>
      <c r="F20" s="221"/>
      <c r="G20" s="221"/>
      <c r="H20" s="221"/>
      <c r="I20" s="221"/>
      <c r="J20" s="221"/>
      <c r="K20" s="221"/>
      <c r="L20" s="221"/>
    </row>
    <row r="21" spans="3:12" ht="16.2" customHeight="1" x14ac:dyDescent="0.3">
      <c r="C21" s="220" t="s">
        <v>165</v>
      </c>
      <c r="D21" s="223">
        <f>'XL AGGREGATE'!G15</f>
        <v>28840.335900930899</v>
      </c>
      <c r="E21" s="221"/>
      <c r="F21" s="221"/>
      <c r="G21" s="221"/>
      <c r="H21" s="221"/>
      <c r="I21" s="221"/>
      <c r="J21" s="221"/>
      <c r="K21" s="221"/>
      <c r="L21" s="221"/>
    </row>
    <row r="22" spans="3:12" ht="16.2" customHeight="1" x14ac:dyDescent="0.3">
      <c r="C22" s="220" t="s">
        <v>166</v>
      </c>
      <c r="D22" s="221"/>
      <c r="E22" s="221"/>
      <c r="F22" s="221"/>
      <c r="G22" s="221"/>
      <c r="H22" s="221"/>
      <c r="I22" s="221"/>
      <c r="J22" s="221"/>
      <c r="K22" s="221"/>
      <c r="L22" s="221"/>
    </row>
    <row r="23" spans="3:12" ht="16.2" customHeight="1" x14ac:dyDescent="0.3">
      <c r="C23" s="220" t="s">
        <v>167</v>
      </c>
      <c r="D23" s="221"/>
      <c r="E23" s="221"/>
      <c r="F23" s="221"/>
      <c r="G23" s="221"/>
      <c r="H23" s="221"/>
      <c r="I23" s="221"/>
      <c r="J23" s="221"/>
      <c r="K23" s="221"/>
      <c r="L23" s="221"/>
    </row>
    <row r="24" spans="3:12" ht="16.2" customHeight="1" x14ac:dyDescent="0.3">
      <c r="C24" s="220" t="s">
        <v>168</v>
      </c>
      <c r="D24" s="221"/>
      <c r="E24" s="221"/>
      <c r="F24" s="221"/>
      <c r="G24" s="221"/>
      <c r="H24" s="221"/>
      <c r="I24" s="221"/>
      <c r="J24" s="221"/>
      <c r="K24" s="221"/>
      <c r="L24" s="221"/>
    </row>
    <row r="25" spans="3:12" ht="16.2" customHeight="1" x14ac:dyDescent="0.3">
      <c r="C25" s="220" t="s">
        <v>169</v>
      </c>
      <c r="D25" s="221"/>
      <c r="E25" s="221"/>
      <c r="F25" s="221"/>
      <c r="G25" s="221"/>
      <c r="H25" s="221"/>
      <c r="I25" s="221"/>
      <c r="J25" s="221"/>
      <c r="K25" s="221"/>
      <c r="L25" s="221"/>
    </row>
    <row r="26" spans="3:12" ht="16.2" customHeight="1" x14ac:dyDescent="0.3">
      <c r="C26" s="220" t="s">
        <v>170</v>
      </c>
      <c r="D26" s="222"/>
    </row>
    <row r="27" spans="3:12" ht="16.2" customHeight="1" x14ac:dyDescent="0.3">
      <c r="C27" s="220" t="s">
        <v>171</v>
      </c>
      <c r="D27" s="222"/>
    </row>
    <row r="28" spans="3:12" ht="16.2" customHeight="1" x14ac:dyDescent="0.3">
      <c r="C28" s="220" t="s">
        <v>172</v>
      </c>
      <c r="D28" s="222"/>
    </row>
    <row r="29" spans="3:12" ht="16.2" customHeight="1" x14ac:dyDescent="0.3">
      <c r="C29" s="220" t="s">
        <v>173</v>
      </c>
      <c r="D29" s="222"/>
    </row>
  </sheetData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Numero dei sinistri</vt:lpstr>
      <vt:lpstr>SINGOLO SINISTRO</vt:lpstr>
      <vt:lpstr>POISSON-LOGNORM</vt:lpstr>
      <vt:lpstr>BIN.NEG.-LOGNORM</vt:lpstr>
      <vt:lpstr>DANNO AGGREGATO</vt:lpstr>
      <vt:lpstr>RISULTATI </vt:lpstr>
      <vt:lpstr>XL AGGREGATE</vt:lpstr>
      <vt:lpstr>SMONTAMENTO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2023-04-17T13:27:02Z</dcterms:modified>
</cp:coreProperties>
</file>