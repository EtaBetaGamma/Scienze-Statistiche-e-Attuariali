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embeddings/oleObject6.bin" ContentType="application/vnd.openxmlformats-officedocument.oleObject"/>
  <Override PartName="/xl/embeddings/oleObject7.bin" ContentType="application/vnd.openxmlformats-officedocument.oleObject"/>
  <Override PartName="/xl/drawings/drawing3.xml" ContentType="application/vnd.openxmlformats-officedocument.drawing+xml"/>
  <Override PartName="/xl/embeddings/oleObject8.bin" ContentType="application/vnd.openxmlformats-officedocument.oleObject"/>
  <Override PartName="/xl/drawings/drawing4.xml" ContentType="application/vnd.openxmlformats-officedocument.drawing+xml"/>
  <Override PartName="/xl/embeddings/oleObject9.bin" ContentType="application/vnd.openxmlformats-officedocument.oleObject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 codeName="{AE6600E7-7A62-396C-DE95-9942FA9DD81E}"/>
  <workbookPr filterPrivacy="1" codeName="Questa_cartella_di_lavoro" defaultThemeVersion="124226"/>
  <xr:revisionPtr revIDLastSave="0" documentId="13_ncr:1_{EA26EBE8-5805-4730-A0BD-29267C0E40E9}" xr6:coauthVersionLast="47" xr6:coauthVersionMax="47" xr10:uidLastSave="{00000000-0000-0000-0000-000000000000}"/>
  <bookViews>
    <workbookView xWindow="-108" yWindow="-108" windowWidth="23256" windowHeight="12576" firstSheet="2" activeTab="5" xr2:uid="{00000000-000D-0000-FFFF-FFFF00000000}"/>
  </bookViews>
  <sheets>
    <sheet name="Numero dei sinistri" sheetId="4" r:id="rId1"/>
    <sheet name="SINGOLO SINISTRO" sheetId="5" r:id="rId2"/>
    <sheet name="POISSON-LOGNORM" sheetId="1" r:id="rId3"/>
    <sheet name="BIN.NEG.-LOGNORM" sheetId="2" r:id="rId4"/>
    <sheet name="DANNO AGGREGATO" sheetId="3" r:id="rId5"/>
    <sheet name="RISULTATI " sheetId="6" r:id="rId6"/>
    <sheet name="tvar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8" i="6" l="1"/>
  <c r="E17" i="6"/>
  <c r="E18" i="6"/>
  <c r="B30" i="6"/>
  <c r="B29" i="6"/>
  <c r="B20" i="1"/>
  <c r="B24" i="2" s="1"/>
  <c r="G9" i="3" s="1"/>
  <c r="H9" i="3" s="1"/>
  <c r="C7" i="6"/>
  <c r="E16" i="6"/>
  <c r="B6" i="6" s="1"/>
  <c r="K21" i="3"/>
  <c r="K22" i="3" s="1"/>
  <c r="B1" i="6"/>
  <c r="E6" i="6"/>
  <c r="B2" i="6" s="1"/>
  <c r="B4" i="6" s="1"/>
  <c r="E8" i="6"/>
  <c r="E7" i="6"/>
  <c r="E5" i="6"/>
  <c r="K24" i="3"/>
  <c r="K25" i="3"/>
  <c r="B8" i="6" s="1"/>
  <c r="K23" i="3"/>
  <c r="I24" i="3"/>
  <c r="I25" i="3"/>
  <c r="I23" i="3"/>
  <c r="K20" i="3"/>
  <c r="I21" i="3"/>
  <c r="I22" i="3" s="1"/>
  <c r="I20" i="3"/>
  <c r="H8" i="3"/>
  <c r="G8" i="3"/>
  <c r="C28" i="2"/>
  <c r="B28" i="2"/>
  <c r="B23" i="2"/>
  <c r="E8" i="2"/>
  <c r="E3" i="2"/>
  <c r="E2" i="2"/>
  <c r="B3" i="2"/>
  <c r="B2" i="2"/>
  <c r="B126" i="1"/>
  <c r="D126" i="1" s="1"/>
  <c r="D130" i="2" s="1"/>
  <c r="B28" i="1"/>
  <c r="D28" i="1" s="1"/>
  <c r="D32" i="2" s="1"/>
  <c r="B29" i="1"/>
  <c r="D29" i="1" s="1"/>
  <c r="D33" i="2" s="1"/>
  <c r="B30" i="1"/>
  <c r="D30" i="1" s="1"/>
  <c r="D34" i="2" s="1"/>
  <c r="B31" i="1"/>
  <c r="D31" i="1" s="1"/>
  <c r="D35" i="2" s="1"/>
  <c r="B32" i="1"/>
  <c r="D32" i="1" s="1"/>
  <c r="D36" i="2" s="1"/>
  <c r="B33" i="1"/>
  <c r="D33" i="1" s="1"/>
  <c r="D37" i="2" s="1"/>
  <c r="B34" i="1"/>
  <c r="D34" i="1" s="1"/>
  <c r="D38" i="2" s="1"/>
  <c r="B35" i="1"/>
  <c r="D35" i="1" s="1"/>
  <c r="D39" i="2" s="1"/>
  <c r="B36" i="1"/>
  <c r="D36" i="1" s="1"/>
  <c r="D40" i="2" s="1"/>
  <c r="B37" i="1"/>
  <c r="D37" i="1" s="1"/>
  <c r="D41" i="2" s="1"/>
  <c r="B38" i="1"/>
  <c r="D38" i="1" s="1"/>
  <c r="D42" i="2" s="1"/>
  <c r="B39" i="1"/>
  <c r="D39" i="1" s="1"/>
  <c r="D43" i="2" s="1"/>
  <c r="B40" i="1"/>
  <c r="D40" i="1" s="1"/>
  <c r="D44" i="2" s="1"/>
  <c r="B41" i="1"/>
  <c r="D41" i="1" s="1"/>
  <c r="D45" i="2" s="1"/>
  <c r="B42" i="1"/>
  <c r="D42" i="1" s="1"/>
  <c r="D46" i="2" s="1"/>
  <c r="B43" i="1"/>
  <c r="D43" i="1" s="1"/>
  <c r="D47" i="2" s="1"/>
  <c r="B44" i="1"/>
  <c r="D44" i="1" s="1"/>
  <c r="D48" i="2" s="1"/>
  <c r="B45" i="1"/>
  <c r="D45" i="1" s="1"/>
  <c r="D49" i="2" s="1"/>
  <c r="B46" i="1"/>
  <c r="D46" i="1" s="1"/>
  <c r="D50" i="2" s="1"/>
  <c r="B47" i="1"/>
  <c r="D47" i="1" s="1"/>
  <c r="D51" i="2" s="1"/>
  <c r="B48" i="1"/>
  <c r="D48" i="1" s="1"/>
  <c r="D52" i="2" s="1"/>
  <c r="B49" i="1"/>
  <c r="D49" i="1" s="1"/>
  <c r="D53" i="2" s="1"/>
  <c r="B50" i="1"/>
  <c r="D50" i="1" s="1"/>
  <c r="D54" i="2" s="1"/>
  <c r="B51" i="1"/>
  <c r="D51" i="1" s="1"/>
  <c r="D55" i="2" s="1"/>
  <c r="B52" i="1"/>
  <c r="D52" i="1" s="1"/>
  <c r="D56" i="2" s="1"/>
  <c r="B53" i="1"/>
  <c r="D53" i="1" s="1"/>
  <c r="D57" i="2" s="1"/>
  <c r="B54" i="1"/>
  <c r="D54" i="1" s="1"/>
  <c r="D58" i="2" s="1"/>
  <c r="B55" i="1"/>
  <c r="D55" i="1" s="1"/>
  <c r="D59" i="2" s="1"/>
  <c r="B56" i="1"/>
  <c r="D56" i="1" s="1"/>
  <c r="D60" i="2" s="1"/>
  <c r="B57" i="1"/>
  <c r="D57" i="1" s="1"/>
  <c r="D61" i="2" s="1"/>
  <c r="B58" i="1"/>
  <c r="D58" i="1" s="1"/>
  <c r="D62" i="2" s="1"/>
  <c r="B59" i="1"/>
  <c r="D59" i="1" s="1"/>
  <c r="D63" i="2" s="1"/>
  <c r="B60" i="1"/>
  <c r="D60" i="1" s="1"/>
  <c r="D64" i="2" s="1"/>
  <c r="B61" i="1"/>
  <c r="D61" i="1" s="1"/>
  <c r="D65" i="2" s="1"/>
  <c r="B62" i="1"/>
  <c r="D62" i="1" s="1"/>
  <c r="D66" i="2" s="1"/>
  <c r="B63" i="1"/>
  <c r="D63" i="1" s="1"/>
  <c r="D67" i="2" s="1"/>
  <c r="B64" i="1"/>
  <c r="D64" i="1" s="1"/>
  <c r="D68" i="2" s="1"/>
  <c r="B65" i="1"/>
  <c r="D65" i="1" s="1"/>
  <c r="D69" i="2" s="1"/>
  <c r="B66" i="1"/>
  <c r="D66" i="1" s="1"/>
  <c r="D70" i="2" s="1"/>
  <c r="B67" i="1"/>
  <c r="D67" i="1" s="1"/>
  <c r="D71" i="2" s="1"/>
  <c r="B68" i="1"/>
  <c r="D68" i="1" s="1"/>
  <c r="D72" i="2" s="1"/>
  <c r="B69" i="1"/>
  <c r="D69" i="1" s="1"/>
  <c r="D73" i="2" s="1"/>
  <c r="B70" i="1"/>
  <c r="D70" i="1" s="1"/>
  <c r="D74" i="2" s="1"/>
  <c r="B71" i="1"/>
  <c r="D71" i="1" s="1"/>
  <c r="D75" i="2" s="1"/>
  <c r="B72" i="1"/>
  <c r="D72" i="1" s="1"/>
  <c r="D76" i="2" s="1"/>
  <c r="B73" i="1"/>
  <c r="D73" i="1" s="1"/>
  <c r="D77" i="2" s="1"/>
  <c r="B74" i="1"/>
  <c r="D74" i="1" s="1"/>
  <c r="D78" i="2" s="1"/>
  <c r="B75" i="1"/>
  <c r="D75" i="1" s="1"/>
  <c r="D79" i="2" s="1"/>
  <c r="B76" i="1"/>
  <c r="D76" i="1" s="1"/>
  <c r="D80" i="2" s="1"/>
  <c r="B77" i="1"/>
  <c r="D77" i="1" s="1"/>
  <c r="D81" i="2" s="1"/>
  <c r="B78" i="1"/>
  <c r="D78" i="1" s="1"/>
  <c r="D82" i="2" s="1"/>
  <c r="B79" i="1"/>
  <c r="D79" i="1" s="1"/>
  <c r="D83" i="2" s="1"/>
  <c r="B80" i="1"/>
  <c r="D80" i="1" s="1"/>
  <c r="D84" i="2" s="1"/>
  <c r="B81" i="1"/>
  <c r="D81" i="1" s="1"/>
  <c r="D85" i="2" s="1"/>
  <c r="B82" i="1"/>
  <c r="D82" i="1" s="1"/>
  <c r="D86" i="2" s="1"/>
  <c r="B83" i="1"/>
  <c r="D83" i="1" s="1"/>
  <c r="D87" i="2" s="1"/>
  <c r="B84" i="1"/>
  <c r="D84" i="1" s="1"/>
  <c r="D88" i="2" s="1"/>
  <c r="B85" i="1"/>
  <c r="D85" i="1" s="1"/>
  <c r="D89" i="2" s="1"/>
  <c r="B86" i="1"/>
  <c r="D86" i="1" s="1"/>
  <c r="D90" i="2" s="1"/>
  <c r="B87" i="1"/>
  <c r="D87" i="1" s="1"/>
  <c r="D91" i="2" s="1"/>
  <c r="B88" i="1"/>
  <c r="D88" i="1" s="1"/>
  <c r="D92" i="2" s="1"/>
  <c r="B89" i="1"/>
  <c r="D89" i="1" s="1"/>
  <c r="D93" i="2" s="1"/>
  <c r="B90" i="1"/>
  <c r="D90" i="1" s="1"/>
  <c r="D94" i="2" s="1"/>
  <c r="B91" i="1"/>
  <c r="D91" i="1" s="1"/>
  <c r="D95" i="2" s="1"/>
  <c r="B92" i="1"/>
  <c r="D92" i="1" s="1"/>
  <c r="D96" i="2" s="1"/>
  <c r="B93" i="1"/>
  <c r="D93" i="1" s="1"/>
  <c r="D97" i="2" s="1"/>
  <c r="B94" i="1"/>
  <c r="D94" i="1" s="1"/>
  <c r="D98" i="2" s="1"/>
  <c r="B95" i="1"/>
  <c r="D95" i="1" s="1"/>
  <c r="D99" i="2" s="1"/>
  <c r="B96" i="1"/>
  <c r="D96" i="1" s="1"/>
  <c r="D100" i="2" s="1"/>
  <c r="B97" i="1"/>
  <c r="D97" i="1" s="1"/>
  <c r="D101" i="2" s="1"/>
  <c r="B98" i="1"/>
  <c r="D98" i="1" s="1"/>
  <c r="D102" i="2" s="1"/>
  <c r="B99" i="1"/>
  <c r="D99" i="1" s="1"/>
  <c r="D103" i="2" s="1"/>
  <c r="B100" i="1"/>
  <c r="D100" i="1" s="1"/>
  <c r="D104" i="2" s="1"/>
  <c r="B101" i="1"/>
  <c r="D101" i="1" s="1"/>
  <c r="D105" i="2" s="1"/>
  <c r="B102" i="1"/>
  <c r="D102" i="1" s="1"/>
  <c r="D106" i="2" s="1"/>
  <c r="B103" i="1"/>
  <c r="D103" i="1" s="1"/>
  <c r="D107" i="2" s="1"/>
  <c r="B104" i="1"/>
  <c r="D104" i="1" s="1"/>
  <c r="D108" i="2" s="1"/>
  <c r="B105" i="1"/>
  <c r="D105" i="1" s="1"/>
  <c r="D109" i="2" s="1"/>
  <c r="B106" i="1"/>
  <c r="D106" i="1" s="1"/>
  <c r="D110" i="2" s="1"/>
  <c r="B107" i="1"/>
  <c r="D107" i="1" s="1"/>
  <c r="D111" i="2" s="1"/>
  <c r="B108" i="1"/>
  <c r="D108" i="1" s="1"/>
  <c r="D112" i="2" s="1"/>
  <c r="B109" i="1"/>
  <c r="D109" i="1" s="1"/>
  <c r="D113" i="2" s="1"/>
  <c r="B110" i="1"/>
  <c r="D110" i="1" s="1"/>
  <c r="D114" i="2" s="1"/>
  <c r="B111" i="1"/>
  <c r="D111" i="1" s="1"/>
  <c r="D115" i="2" s="1"/>
  <c r="B112" i="1"/>
  <c r="D112" i="1" s="1"/>
  <c r="D116" i="2" s="1"/>
  <c r="B113" i="1"/>
  <c r="D113" i="1" s="1"/>
  <c r="D117" i="2" s="1"/>
  <c r="B114" i="1"/>
  <c r="D114" i="1" s="1"/>
  <c r="D118" i="2" s="1"/>
  <c r="B115" i="1"/>
  <c r="D115" i="1" s="1"/>
  <c r="D119" i="2" s="1"/>
  <c r="B116" i="1"/>
  <c r="D116" i="1" s="1"/>
  <c r="D120" i="2" s="1"/>
  <c r="B117" i="1"/>
  <c r="D117" i="1" s="1"/>
  <c r="D121" i="2" s="1"/>
  <c r="B118" i="1"/>
  <c r="D118" i="1" s="1"/>
  <c r="D122" i="2" s="1"/>
  <c r="B119" i="1"/>
  <c r="D119" i="1" s="1"/>
  <c r="D123" i="2" s="1"/>
  <c r="B120" i="1"/>
  <c r="D120" i="1" s="1"/>
  <c r="D124" i="2" s="1"/>
  <c r="B121" i="1"/>
  <c r="D121" i="1" s="1"/>
  <c r="D125" i="2" s="1"/>
  <c r="B122" i="1"/>
  <c r="D122" i="1" s="1"/>
  <c r="D126" i="2" s="1"/>
  <c r="B123" i="1"/>
  <c r="D123" i="1" s="1"/>
  <c r="D127" i="2" s="1"/>
  <c r="B124" i="1"/>
  <c r="D124" i="1" s="1"/>
  <c r="D128" i="2" s="1"/>
  <c r="B125" i="1"/>
  <c r="D125" i="1" s="1"/>
  <c r="D129" i="2" s="1"/>
  <c r="B27" i="1"/>
  <c r="D27" i="1" s="1"/>
  <c r="D31" i="2" s="1"/>
  <c r="C24" i="1"/>
  <c r="B24" i="1"/>
  <c r="B21" i="1"/>
  <c r="B25" i="2" s="1"/>
  <c r="B19" i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AP7" i="1"/>
  <c r="AQ7" i="1"/>
  <c r="AR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E7" i="1"/>
  <c r="CF7" i="1"/>
  <c r="CG7" i="1"/>
  <c r="CH7" i="1"/>
  <c r="CI7" i="1"/>
  <c r="CJ7" i="1"/>
  <c r="CK7" i="1"/>
  <c r="CL7" i="1"/>
  <c r="CM7" i="1"/>
  <c r="CN7" i="1"/>
  <c r="CO7" i="1"/>
  <c r="CP7" i="1"/>
  <c r="CQ7" i="1"/>
  <c r="CR7" i="1"/>
  <c r="CS7" i="1"/>
  <c r="CT7" i="1"/>
  <c r="CU7" i="1"/>
  <c r="CV7" i="1"/>
  <c r="CW7" i="1"/>
  <c r="CX7" i="1"/>
  <c r="CY7" i="1"/>
  <c r="CZ7" i="1"/>
  <c r="C7" i="1"/>
  <c r="B14" i="1"/>
  <c r="F13" i="1"/>
  <c r="F12" i="1"/>
  <c r="F11" i="1"/>
  <c r="B4" i="1"/>
  <c r="F6" i="1" s="1"/>
  <c r="B2" i="1"/>
  <c r="D25" i="5"/>
  <c r="D24" i="5"/>
  <c r="C25" i="5"/>
  <c r="C24" i="5"/>
  <c r="D22" i="5"/>
  <c r="D21" i="5"/>
  <c r="C21" i="5"/>
  <c r="H6" i="5"/>
  <c r="G6" i="5"/>
  <c r="H2" i="5"/>
  <c r="E10" i="5" s="1"/>
  <c r="D3" i="5"/>
  <c r="D4" i="5"/>
  <c r="D5" i="5"/>
  <c r="D6" i="5"/>
  <c r="D7" i="5"/>
  <c r="D8" i="5"/>
  <c r="D9" i="5"/>
  <c r="D10" i="5"/>
  <c r="D11" i="5"/>
  <c r="D12" i="5"/>
  <c r="D13" i="5"/>
  <c r="D14" i="5"/>
  <c r="D15" i="5"/>
  <c r="D2" i="5"/>
  <c r="B47" i="4"/>
  <c r="B45" i="4"/>
  <c r="B42" i="4"/>
  <c r="B43" i="4"/>
  <c r="B44" i="4"/>
  <c r="B41" i="4"/>
  <c r="L42" i="4"/>
  <c r="L43" i="4"/>
  <c r="L44" i="4"/>
  <c r="L45" i="4"/>
  <c r="L46" i="4"/>
  <c r="L41" i="4"/>
  <c r="K42" i="4"/>
  <c r="K43" i="4"/>
  <c r="K44" i="4"/>
  <c r="K45" i="4"/>
  <c r="K46" i="4"/>
  <c r="K41" i="4"/>
  <c r="F8" i="6" l="1"/>
  <c r="C1" i="6" s="1"/>
  <c r="I30" i="3"/>
  <c r="J30" i="3"/>
  <c r="CU6" i="1"/>
  <c r="AY6" i="1"/>
  <c r="BO6" i="1"/>
  <c r="BG6" i="1"/>
  <c r="AQ6" i="1"/>
  <c r="AI6" i="1"/>
  <c r="CM6" i="1"/>
  <c r="AA6" i="1"/>
  <c r="CE6" i="1"/>
  <c r="S6" i="1"/>
  <c r="BW6" i="1"/>
  <c r="K6" i="1"/>
  <c r="CO6" i="1"/>
  <c r="BY6" i="1"/>
  <c r="BA6" i="1"/>
  <c r="AK6" i="1"/>
  <c r="E6" i="1"/>
  <c r="CW6" i="1"/>
  <c r="CG6" i="1"/>
  <c r="BQ6" i="1"/>
  <c r="BI6" i="1"/>
  <c r="AS6" i="1"/>
  <c r="AC6" i="1"/>
  <c r="U6" i="1"/>
  <c r="M6" i="1"/>
  <c r="CV6" i="1"/>
  <c r="CN6" i="1"/>
  <c r="CF6" i="1"/>
  <c r="BX6" i="1"/>
  <c r="BP6" i="1"/>
  <c r="BH6" i="1"/>
  <c r="AZ6" i="1"/>
  <c r="AR6" i="1"/>
  <c r="AJ6" i="1"/>
  <c r="AB6" i="1"/>
  <c r="T6" i="1"/>
  <c r="L6" i="1"/>
  <c r="D6" i="1"/>
  <c r="G6" i="3"/>
  <c r="CT6" i="1"/>
  <c r="CL6" i="1"/>
  <c r="CD6" i="1"/>
  <c r="BV6" i="1"/>
  <c r="BN6" i="1"/>
  <c r="BF6" i="1"/>
  <c r="AX6" i="1"/>
  <c r="AP6" i="1"/>
  <c r="AH6" i="1"/>
  <c r="Z6" i="1"/>
  <c r="R6" i="1"/>
  <c r="J6" i="1"/>
  <c r="C6" i="1"/>
  <c r="C5" i="1" s="1"/>
  <c r="CK6" i="1"/>
  <c r="BU6" i="1"/>
  <c r="BE6" i="1"/>
  <c r="AO6" i="1"/>
  <c r="AG6" i="1"/>
  <c r="Y6" i="1"/>
  <c r="Q6" i="1"/>
  <c r="I6" i="1"/>
  <c r="H28" i="1"/>
  <c r="CS6" i="1"/>
  <c r="CC6" i="1"/>
  <c r="BM6" i="1"/>
  <c r="AW6" i="1"/>
  <c r="CZ6" i="1"/>
  <c r="CR6" i="1"/>
  <c r="CJ6" i="1"/>
  <c r="CB6" i="1"/>
  <c r="BT6" i="1"/>
  <c r="BL6" i="1"/>
  <c r="BD6" i="1"/>
  <c r="AV6" i="1"/>
  <c r="AN6" i="1"/>
  <c r="AF6" i="1"/>
  <c r="X6" i="1"/>
  <c r="P6" i="1"/>
  <c r="H6" i="1"/>
  <c r="H29" i="1"/>
  <c r="H30" i="1" s="1"/>
  <c r="CY6" i="1"/>
  <c r="CI6" i="1"/>
  <c r="BS6" i="1"/>
  <c r="BK6" i="1"/>
  <c r="BC6" i="1"/>
  <c r="AM6" i="1"/>
  <c r="AE6" i="1"/>
  <c r="W6" i="1"/>
  <c r="O6" i="1"/>
  <c r="G6" i="1"/>
  <c r="CQ6" i="1"/>
  <c r="CA6" i="1"/>
  <c r="AU6" i="1"/>
  <c r="CX6" i="1"/>
  <c r="CP6" i="1"/>
  <c r="CH6" i="1"/>
  <c r="BZ6" i="1"/>
  <c r="BR6" i="1"/>
  <c r="BJ6" i="1"/>
  <c r="BB6" i="1"/>
  <c r="AT6" i="1"/>
  <c r="AL6" i="1"/>
  <c r="AD6" i="1"/>
  <c r="V6" i="1"/>
  <c r="N6" i="1"/>
  <c r="B18" i="2"/>
  <c r="E11" i="5"/>
  <c r="E2" i="5"/>
  <c r="E9" i="5"/>
  <c r="E16" i="5"/>
  <c r="E8" i="5"/>
  <c r="E15" i="5"/>
  <c r="E7" i="5"/>
  <c r="E14" i="5"/>
  <c r="E6" i="5"/>
  <c r="E13" i="5"/>
  <c r="E5" i="5"/>
  <c r="E12" i="5"/>
  <c r="E4" i="5"/>
  <c r="E3" i="5"/>
  <c r="D5" i="1" l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P5" i="1" s="1"/>
  <c r="Q5" i="1" s="1"/>
  <c r="R5" i="1" s="1"/>
  <c r="S5" i="1" s="1"/>
  <c r="T5" i="1" s="1"/>
  <c r="U5" i="1" s="1"/>
  <c r="V5" i="1" s="1"/>
  <c r="W5" i="1" s="1"/>
  <c r="X5" i="1" s="1"/>
  <c r="Y5" i="1" s="1"/>
  <c r="Z5" i="1" s="1"/>
  <c r="AA5" i="1" s="1"/>
  <c r="AB5" i="1" s="1"/>
  <c r="AC5" i="1" s="1"/>
  <c r="AD5" i="1" s="1"/>
  <c r="AE5" i="1" s="1"/>
  <c r="AF5" i="1" s="1"/>
  <c r="AG5" i="1" s="1"/>
  <c r="AH5" i="1" s="1"/>
  <c r="AI5" i="1" s="1"/>
  <c r="AJ5" i="1" s="1"/>
  <c r="AK5" i="1" s="1"/>
  <c r="AL5" i="1" s="1"/>
  <c r="AM5" i="1" s="1"/>
  <c r="AN5" i="1" s="1"/>
  <c r="AO5" i="1" s="1"/>
  <c r="AP5" i="1" s="1"/>
  <c r="AQ5" i="1" s="1"/>
  <c r="AR5" i="1" s="1"/>
  <c r="AS5" i="1" s="1"/>
  <c r="AT5" i="1" s="1"/>
  <c r="AU5" i="1" s="1"/>
  <c r="AV5" i="1" s="1"/>
  <c r="AW5" i="1" s="1"/>
  <c r="AX5" i="1" s="1"/>
  <c r="AY5" i="1" s="1"/>
  <c r="AZ5" i="1" s="1"/>
  <c r="BA5" i="1" s="1"/>
  <c r="H20" i="3"/>
  <c r="H15" i="3" s="1"/>
  <c r="G7" i="3"/>
  <c r="H21" i="3" s="1"/>
  <c r="H22" i="3" s="1"/>
  <c r="H16" i="3" s="1"/>
  <c r="H6" i="3"/>
  <c r="H3" i="5"/>
  <c r="J20" i="3" l="1"/>
  <c r="BB5" i="1"/>
  <c r="BC5" i="1" s="1"/>
  <c r="BD5" i="1" s="1"/>
  <c r="BE5" i="1" s="1"/>
  <c r="BF5" i="1" s="1"/>
  <c r="BG5" i="1" s="1"/>
  <c r="BH5" i="1" s="1"/>
  <c r="BI5" i="1" s="1"/>
  <c r="BJ5" i="1" s="1"/>
  <c r="BK5" i="1" s="1"/>
  <c r="BL5" i="1" s="1"/>
  <c r="BM5" i="1" s="1"/>
  <c r="BN5" i="1" s="1"/>
  <c r="BO5" i="1" s="1"/>
  <c r="BP5" i="1" s="1"/>
  <c r="BQ5" i="1" s="1"/>
  <c r="BR5" i="1" s="1"/>
  <c r="BS5" i="1" s="1"/>
  <c r="BT5" i="1" s="1"/>
  <c r="BU5" i="1" s="1"/>
  <c r="BV5" i="1" s="1"/>
  <c r="BW5" i="1" s="1"/>
  <c r="BX5" i="1" s="1"/>
  <c r="BY5" i="1" s="1"/>
  <c r="BZ5" i="1" s="1"/>
  <c r="CA5" i="1" s="1"/>
  <c r="CB5" i="1" s="1"/>
  <c r="CC5" i="1" s="1"/>
  <c r="CD5" i="1" s="1"/>
  <c r="CE5" i="1" s="1"/>
  <c r="CF5" i="1" s="1"/>
  <c r="CG5" i="1" s="1"/>
  <c r="CH5" i="1" s="1"/>
  <c r="CI5" i="1" s="1"/>
  <c r="CJ5" i="1" s="1"/>
  <c r="CK5" i="1" s="1"/>
  <c r="CL5" i="1" s="1"/>
  <c r="CM5" i="1" s="1"/>
  <c r="CN5" i="1" s="1"/>
  <c r="CO5" i="1" s="1"/>
  <c r="CP5" i="1" s="1"/>
  <c r="CQ5" i="1" s="1"/>
  <c r="CR5" i="1" s="1"/>
  <c r="CS5" i="1" s="1"/>
  <c r="CT5" i="1" s="1"/>
  <c r="CU5" i="1" s="1"/>
  <c r="CV5" i="1" s="1"/>
  <c r="CW5" i="1" s="1"/>
  <c r="CX5" i="1" s="1"/>
  <c r="CY5" i="1" s="1"/>
  <c r="CZ5" i="1" s="1"/>
  <c r="B15" i="1"/>
  <c r="I15" i="3" l="1"/>
  <c r="C19" i="2"/>
  <c r="E57" i="1"/>
  <c r="E72" i="1"/>
  <c r="E42" i="1"/>
  <c r="E98" i="1"/>
  <c r="E65" i="1"/>
  <c r="E31" i="1"/>
  <c r="E111" i="1"/>
  <c r="E47" i="1"/>
  <c r="E86" i="1"/>
  <c r="E125" i="1"/>
  <c r="E61" i="1"/>
  <c r="E100" i="1"/>
  <c r="E36" i="1"/>
  <c r="E90" i="1"/>
  <c r="E50" i="1"/>
  <c r="E87" i="1"/>
  <c r="E37" i="1"/>
  <c r="E94" i="1"/>
  <c r="E41" i="1"/>
  <c r="E56" i="1"/>
  <c r="E115" i="1"/>
  <c r="E82" i="1"/>
  <c r="E49" i="1"/>
  <c r="E123" i="1"/>
  <c r="E103" i="1"/>
  <c r="E39" i="1"/>
  <c r="E78" i="1"/>
  <c r="E117" i="1"/>
  <c r="E53" i="1"/>
  <c r="E92" i="1"/>
  <c r="E28" i="1"/>
  <c r="E120" i="1"/>
  <c r="E91" i="1"/>
  <c r="E126" i="1"/>
  <c r="E76" i="1"/>
  <c r="E121" i="1"/>
  <c r="E114" i="1"/>
  <c r="E30" i="1"/>
  <c r="E104" i="1"/>
  <c r="E40" i="1"/>
  <c r="E99" i="1"/>
  <c r="E66" i="1"/>
  <c r="E33" i="1"/>
  <c r="E107" i="1"/>
  <c r="E95" i="1"/>
  <c r="E27" i="1"/>
  <c r="E70" i="1"/>
  <c r="E109" i="1"/>
  <c r="E45" i="1"/>
  <c r="E84" i="1"/>
  <c r="E112" i="1"/>
  <c r="E101" i="1"/>
  <c r="E48" i="1"/>
  <c r="E108" i="1"/>
  <c r="E83" i="1"/>
  <c r="E62" i="1"/>
  <c r="E119" i="1"/>
  <c r="E74" i="1"/>
  <c r="E73" i="1"/>
  <c r="E67" i="1"/>
  <c r="E34" i="1"/>
  <c r="E96" i="1"/>
  <c r="E75" i="1"/>
  <c r="E79" i="1"/>
  <c r="E118" i="1"/>
  <c r="E54" i="1"/>
  <c r="E93" i="1"/>
  <c r="E29" i="1"/>
  <c r="E68" i="1"/>
  <c r="E51" i="1"/>
  <c r="E80" i="1"/>
  <c r="E71" i="1"/>
  <c r="E110" i="1"/>
  <c r="E85" i="1"/>
  <c r="E60" i="1"/>
  <c r="E88" i="1"/>
  <c r="E55" i="1"/>
  <c r="E44" i="1"/>
  <c r="E89" i="1"/>
  <c r="E106" i="1"/>
  <c r="E113" i="1"/>
  <c r="E59" i="1"/>
  <c r="E46" i="1"/>
  <c r="E124" i="1"/>
  <c r="E105" i="1"/>
  <c r="E81" i="1"/>
  <c r="E69" i="1"/>
  <c r="E32" i="1"/>
  <c r="E122" i="1"/>
  <c r="E58" i="1"/>
  <c r="E35" i="1"/>
  <c r="E97" i="1"/>
  <c r="E64" i="1"/>
  <c r="E43" i="1"/>
  <c r="E63" i="1"/>
  <c r="E102" i="1"/>
  <c r="E38" i="1"/>
  <c r="E77" i="1"/>
  <c r="E116" i="1"/>
  <c r="E52" i="1"/>
  <c r="H26" i="1" l="1"/>
  <c r="E68" i="4" l="1"/>
  <c r="E67" i="4"/>
  <c r="F64" i="4"/>
  <c r="F61" i="4"/>
  <c r="F62" i="4"/>
  <c r="F63" i="4"/>
  <c r="F60" i="4"/>
  <c r="E63" i="4"/>
  <c r="E62" i="4"/>
  <c r="E61" i="4"/>
  <c r="E60" i="4"/>
  <c r="D61" i="4"/>
  <c r="D62" i="4"/>
  <c r="D63" i="4"/>
  <c r="D60" i="4"/>
  <c r="I42" i="4"/>
  <c r="I43" i="4"/>
  <c r="I44" i="4"/>
  <c r="I45" i="4"/>
  <c r="I46" i="4"/>
  <c r="I41" i="4"/>
  <c r="D47" i="4"/>
  <c r="H46" i="4"/>
  <c r="H43" i="4"/>
  <c r="H44" i="4" s="1"/>
  <c r="H45" i="4" s="1"/>
  <c r="H42" i="4"/>
  <c r="H41" i="4"/>
  <c r="D56" i="4"/>
  <c r="D53" i="4"/>
  <c r="D50" i="4"/>
  <c r="D49" i="4"/>
  <c r="E41" i="4"/>
  <c r="F41" i="4"/>
  <c r="G41" i="4"/>
  <c r="E42" i="4"/>
  <c r="F42" i="4"/>
  <c r="G42" i="4"/>
  <c r="E43" i="4"/>
  <c r="F43" i="4"/>
  <c r="G43" i="4"/>
  <c r="E44" i="4"/>
  <c r="F44" i="4"/>
  <c r="G44" i="4"/>
  <c r="E45" i="4"/>
  <c r="F45" i="4"/>
  <c r="G45" i="4"/>
  <c r="E46" i="4"/>
  <c r="F46" i="4"/>
  <c r="G46" i="4"/>
  <c r="D42" i="4"/>
  <c r="D43" i="4"/>
  <c r="D44" i="4"/>
  <c r="D45" i="4"/>
  <c r="D46" i="4"/>
  <c r="D41" i="4"/>
  <c r="E30" i="4"/>
  <c r="I33" i="4" s="1"/>
  <c r="E29" i="4"/>
  <c r="F26" i="4"/>
  <c r="F23" i="4"/>
  <c r="F24" i="4"/>
  <c r="F25" i="4"/>
  <c r="F22" i="4"/>
  <c r="E26" i="4"/>
  <c r="D26" i="4"/>
  <c r="E25" i="4"/>
  <c r="E24" i="4"/>
  <c r="E23" i="4"/>
  <c r="E22" i="4"/>
  <c r="D25" i="4"/>
  <c r="D24" i="4"/>
  <c r="D23" i="4"/>
  <c r="D22" i="4"/>
  <c r="I15" i="4"/>
  <c r="I10" i="4"/>
  <c r="I11" i="4"/>
  <c r="I12" i="4"/>
  <c r="I13" i="4"/>
  <c r="I14" i="4"/>
  <c r="I9" i="4"/>
  <c r="H14" i="4"/>
  <c r="H13" i="4"/>
  <c r="H10" i="4"/>
  <c r="H11" i="4"/>
  <c r="H12" i="4"/>
  <c r="K9" i="4"/>
  <c r="H9" i="4"/>
  <c r="D18" i="4"/>
  <c r="G10" i="4"/>
  <c r="G11" i="4"/>
  <c r="G12" i="4"/>
  <c r="G13" i="4"/>
  <c r="G9" i="4"/>
  <c r="D17" i="4"/>
  <c r="F10" i="4"/>
  <c r="F11" i="4"/>
  <c r="F12" i="4"/>
  <c r="F13" i="4"/>
  <c r="F9" i="4"/>
  <c r="E10" i="4"/>
  <c r="E11" i="4"/>
  <c r="E12" i="4"/>
  <c r="E13" i="4"/>
  <c r="E14" i="4"/>
  <c r="E9" i="4"/>
  <c r="C27" i="2" l="1"/>
  <c r="B27" i="2"/>
  <c r="B5" i="2"/>
  <c r="B4" i="3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B863" i="3" s="1"/>
  <c r="B864" i="3" s="1"/>
  <c r="B865" i="3" s="1"/>
  <c r="B866" i="3" s="1"/>
  <c r="B867" i="3" s="1"/>
  <c r="B868" i="3" s="1"/>
  <c r="B869" i="3" s="1"/>
  <c r="B870" i="3" s="1"/>
  <c r="B871" i="3" s="1"/>
  <c r="B872" i="3" s="1"/>
  <c r="B873" i="3" s="1"/>
  <c r="B874" i="3" s="1"/>
  <c r="B875" i="3" s="1"/>
  <c r="B876" i="3" s="1"/>
  <c r="B877" i="3" s="1"/>
  <c r="B878" i="3" s="1"/>
  <c r="B879" i="3" s="1"/>
  <c r="B880" i="3" s="1"/>
  <c r="B881" i="3" s="1"/>
  <c r="B882" i="3" s="1"/>
  <c r="B883" i="3" s="1"/>
  <c r="B884" i="3" s="1"/>
  <c r="B885" i="3" s="1"/>
  <c r="B886" i="3" s="1"/>
  <c r="B887" i="3" s="1"/>
  <c r="B888" i="3" s="1"/>
  <c r="B889" i="3" s="1"/>
  <c r="B890" i="3" s="1"/>
  <c r="B891" i="3" s="1"/>
  <c r="B892" i="3" s="1"/>
  <c r="B893" i="3" s="1"/>
  <c r="B894" i="3" s="1"/>
  <c r="B895" i="3" s="1"/>
  <c r="B896" i="3" s="1"/>
  <c r="B897" i="3" s="1"/>
  <c r="B898" i="3" s="1"/>
  <c r="B899" i="3" s="1"/>
  <c r="B900" i="3" s="1"/>
  <c r="B901" i="3" s="1"/>
  <c r="B902" i="3" s="1"/>
  <c r="B903" i="3" s="1"/>
  <c r="B904" i="3" s="1"/>
  <c r="B905" i="3" s="1"/>
  <c r="B906" i="3" s="1"/>
  <c r="B907" i="3" s="1"/>
  <c r="B908" i="3" s="1"/>
  <c r="B909" i="3" s="1"/>
  <c r="B910" i="3" s="1"/>
  <c r="B911" i="3" s="1"/>
  <c r="B912" i="3" s="1"/>
  <c r="B913" i="3" s="1"/>
  <c r="B914" i="3" s="1"/>
  <c r="B915" i="3" s="1"/>
  <c r="B916" i="3" s="1"/>
  <c r="B917" i="3" s="1"/>
  <c r="B918" i="3" s="1"/>
  <c r="B919" i="3" s="1"/>
  <c r="B920" i="3" s="1"/>
  <c r="B921" i="3" s="1"/>
  <c r="B922" i="3" s="1"/>
  <c r="B923" i="3" s="1"/>
  <c r="B924" i="3" s="1"/>
  <c r="B925" i="3" s="1"/>
  <c r="B926" i="3" s="1"/>
  <c r="B927" i="3" s="1"/>
  <c r="B928" i="3" s="1"/>
  <c r="B929" i="3" s="1"/>
  <c r="B930" i="3" s="1"/>
  <c r="B931" i="3" s="1"/>
  <c r="B932" i="3" s="1"/>
  <c r="B933" i="3" s="1"/>
  <c r="B934" i="3" s="1"/>
  <c r="B935" i="3" s="1"/>
  <c r="B936" i="3" s="1"/>
  <c r="B937" i="3" s="1"/>
  <c r="B938" i="3" s="1"/>
  <c r="B939" i="3" s="1"/>
  <c r="B940" i="3" s="1"/>
  <c r="B941" i="3" s="1"/>
  <c r="B942" i="3" s="1"/>
  <c r="B943" i="3" s="1"/>
  <c r="B944" i="3" s="1"/>
  <c r="B945" i="3" s="1"/>
  <c r="B946" i="3" s="1"/>
  <c r="B947" i="3" s="1"/>
  <c r="B948" i="3" s="1"/>
  <c r="B949" i="3" s="1"/>
  <c r="B950" i="3" s="1"/>
  <c r="B951" i="3" s="1"/>
  <c r="B952" i="3" s="1"/>
  <c r="B953" i="3" s="1"/>
  <c r="B954" i="3" s="1"/>
  <c r="B955" i="3" s="1"/>
  <c r="B956" i="3" s="1"/>
  <c r="B957" i="3" s="1"/>
  <c r="B958" i="3" s="1"/>
  <c r="B959" i="3" s="1"/>
  <c r="B960" i="3" s="1"/>
  <c r="B961" i="3" s="1"/>
  <c r="B962" i="3" s="1"/>
  <c r="B963" i="3" s="1"/>
  <c r="B964" i="3" s="1"/>
  <c r="B965" i="3" s="1"/>
  <c r="B966" i="3" s="1"/>
  <c r="B967" i="3" s="1"/>
  <c r="B968" i="3" s="1"/>
  <c r="B969" i="3" s="1"/>
  <c r="B970" i="3" s="1"/>
  <c r="B971" i="3" s="1"/>
  <c r="B972" i="3" s="1"/>
  <c r="B973" i="3" s="1"/>
  <c r="B974" i="3" s="1"/>
  <c r="B975" i="3" s="1"/>
  <c r="B976" i="3" s="1"/>
  <c r="B977" i="3" s="1"/>
  <c r="B978" i="3" s="1"/>
  <c r="B979" i="3" s="1"/>
  <c r="B980" i="3" s="1"/>
  <c r="B981" i="3" s="1"/>
  <c r="B982" i="3" s="1"/>
  <c r="B983" i="3" s="1"/>
  <c r="B984" i="3" s="1"/>
  <c r="B985" i="3" s="1"/>
  <c r="B986" i="3" s="1"/>
  <c r="B987" i="3" s="1"/>
  <c r="B988" i="3" s="1"/>
  <c r="B989" i="3" s="1"/>
  <c r="B990" i="3" s="1"/>
  <c r="B991" i="3" s="1"/>
  <c r="B992" i="3" s="1"/>
  <c r="B993" i="3" s="1"/>
  <c r="B994" i="3" s="1"/>
  <c r="B995" i="3" s="1"/>
  <c r="B996" i="3" s="1"/>
  <c r="B997" i="3" s="1"/>
  <c r="B998" i="3" s="1"/>
  <c r="B999" i="3" s="1"/>
  <c r="B1000" i="3" s="1"/>
  <c r="B1001" i="3" s="1"/>
  <c r="B1002" i="3" s="1"/>
  <c r="B5" i="6" l="1"/>
  <c r="E7" i="2"/>
  <c r="A23" i="2"/>
  <c r="A24" i="2"/>
  <c r="A25" i="2"/>
  <c r="C17" i="5"/>
  <c r="B3" i="5"/>
  <c r="B4" i="5" s="1"/>
  <c r="A3" i="5"/>
  <c r="C62" i="4"/>
  <c r="C61" i="4"/>
  <c r="C60" i="4"/>
  <c r="C24" i="4"/>
  <c r="C23" i="4"/>
  <c r="C22" i="4"/>
  <c r="D15" i="4"/>
  <c r="B7" i="2" l="1"/>
  <c r="B8" i="2" s="1"/>
  <c r="H7" i="3" s="1"/>
  <c r="J21" i="3" s="1"/>
  <c r="C10" i="2"/>
  <c r="B11" i="6"/>
  <c r="B5" i="5"/>
  <c r="A5" i="5"/>
  <c r="A4" i="5"/>
  <c r="J22" i="3" l="1"/>
  <c r="I16" i="3" s="1"/>
  <c r="I31" i="3"/>
  <c r="B13" i="6"/>
  <c r="B12" i="6"/>
  <c r="B7" i="6"/>
  <c r="B9" i="6"/>
  <c r="B10" i="6" s="1"/>
  <c r="D10" i="2"/>
  <c r="E10" i="2" s="1"/>
  <c r="F10" i="2" s="1"/>
  <c r="G10" i="2" s="1"/>
  <c r="H10" i="2" s="1"/>
  <c r="I10" i="2" s="1"/>
  <c r="J10" i="2" s="1"/>
  <c r="K10" i="2" s="1"/>
  <c r="L10" i="2" s="1"/>
  <c r="M10" i="2" s="1"/>
  <c r="N10" i="2" s="1"/>
  <c r="O10" i="2" s="1"/>
  <c r="P10" i="2" s="1"/>
  <c r="Q10" i="2" s="1"/>
  <c r="R10" i="2" s="1"/>
  <c r="S10" i="2" s="1"/>
  <c r="T10" i="2" s="1"/>
  <c r="U10" i="2" s="1"/>
  <c r="V10" i="2" s="1"/>
  <c r="W10" i="2" s="1"/>
  <c r="X10" i="2" s="1"/>
  <c r="Y10" i="2" s="1"/>
  <c r="Z10" i="2" s="1"/>
  <c r="AA10" i="2" s="1"/>
  <c r="AB10" i="2" s="1"/>
  <c r="AC10" i="2" s="1"/>
  <c r="AD10" i="2" s="1"/>
  <c r="AE10" i="2" s="1"/>
  <c r="AF10" i="2" s="1"/>
  <c r="AG10" i="2" s="1"/>
  <c r="AH10" i="2" s="1"/>
  <c r="AI10" i="2" s="1"/>
  <c r="AJ10" i="2" s="1"/>
  <c r="AK10" i="2" s="1"/>
  <c r="AL10" i="2" s="1"/>
  <c r="AM10" i="2" s="1"/>
  <c r="AN10" i="2" s="1"/>
  <c r="AO10" i="2" s="1"/>
  <c r="AP10" i="2" s="1"/>
  <c r="AQ10" i="2" s="1"/>
  <c r="AR10" i="2" s="1"/>
  <c r="AS10" i="2" s="1"/>
  <c r="AT10" i="2" s="1"/>
  <c r="AU10" i="2" s="1"/>
  <c r="AV10" i="2" s="1"/>
  <c r="AW10" i="2" s="1"/>
  <c r="AX10" i="2" s="1"/>
  <c r="AY10" i="2" s="1"/>
  <c r="AZ10" i="2" s="1"/>
  <c r="BA10" i="2" s="1"/>
  <c r="BB10" i="2" s="1"/>
  <c r="BC10" i="2" s="1"/>
  <c r="BD10" i="2" s="1"/>
  <c r="BE10" i="2" s="1"/>
  <c r="BF10" i="2" s="1"/>
  <c r="BG10" i="2" s="1"/>
  <c r="BH10" i="2" s="1"/>
  <c r="BI10" i="2" s="1"/>
  <c r="BJ10" i="2" s="1"/>
  <c r="BK10" i="2" s="1"/>
  <c r="BL10" i="2" s="1"/>
  <c r="BM10" i="2" s="1"/>
  <c r="BN10" i="2" s="1"/>
  <c r="BO10" i="2" s="1"/>
  <c r="BP10" i="2" s="1"/>
  <c r="BQ10" i="2" s="1"/>
  <c r="BR10" i="2" s="1"/>
  <c r="BS10" i="2" s="1"/>
  <c r="BT10" i="2" s="1"/>
  <c r="BU10" i="2" s="1"/>
  <c r="BV10" i="2" s="1"/>
  <c r="BW10" i="2" s="1"/>
  <c r="BX10" i="2" s="1"/>
  <c r="BY10" i="2" s="1"/>
  <c r="BZ10" i="2" s="1"/>
  <c r="CA10" i="2" s="1"/>
  <c r="CB10" i="2" s="1"/>
  <c r="CC10" i="2" s="1"/>
  <c r="CD10" i="2" s="1"/>
  <c r="CE10" i="2" s="1"/>
  <c r="CF10" i="2" s="1"/>
  <c r="CG10" i="2" s="1"/>
  <c r="CH10" i="2" s="1"/>
  <c r="CI10" i="2" s="1"/>
  <c r="CJ10" i="2" s="1"/>
  <c r="CK10" i="2" s="1"/>
  <c r="CL10" i="2" s="1"/>
  <c r="CM10" i="2" s="1"/>
  <c r="CN10" i="2" s="1"/>
  <c r="CO10" i="2" s="1"/>
  <c r="CP10" i="2" s="1"/>
  <c r="CQ10" i="2" s="1"/>
  <c r="CR10" i="2" s="1"/>
  <c r="CS10" i="2" s="1"/>
  <c r="CT10" i="2" s="1"/>
  <c r="CU10" i="2" s="1"/>
  <c r="CV10" i="2" s="1"/>
  <c r="CW10" i="2" s="1"/>
  <c r="CX10" i="2" s="1"/>
  <c r="CY10" i="2" s="1"/>
  <c r="CZ10" i="2" s="1"/>
  <c r="C9" i="2"/>
  <c r="B6" i="5"/>
  <c r="A6" i="5"/>
  <c r="B22" i="6" l="1"/>
  <c r="B23" i="6" s="1"/>
  <c r="B24" i="6" s="1"/>
  <c r="B25" i="6" s="1"/>
  <c r="B26" i="6" s="1"/>
  <c r="D9" i="2"/>
  <c r="E9" i="2" s="1"/>
  <c r="F9" i="2" s="1"/>
  <c r="G9" i="2" s="1"/>
  <c r="H9" i="2" s="1"/>
  <c r="I9" i="2" s="1"/>
  <c r="J9" i="2" s="1"/>
  <c r="K9" i="2" s="1"/>
  <c r="L9" i="2" s="1"/>
  <c r="M9" i="2" s="1"/>
  <c r="N9" i="2" s="1"/>
  <c r="O9" i="2" s="1"/>
  <c r="P9" i="2" s="1"/>
  <c r="Q9" i="2" s="1"/>
  <c r="R9" i="2" s="1"/>
  <c r="S9" i="2" s="1"/>
  <c r="T9" i="2" s="1"/>
  <c r="U9" i="2" s="1"/>
  <c r="V9" i="2" s="1"/>
  <c r="W9" i="2" s="1"/>
  <c r="X9" i="2" s="1"/>
  <c r="Y9" i="2" s="1"/>
  <c r="Z9" i="2" s="1"/>
  <c r="AA9" i="2" s="1"/>
  <c r="AB9" i="2" s="1"/>
  <c r="AC9" i="2" s="1"/>
  <c r="AD9" i="2" s="1"/>
  <c r="AE9" i="2" s="1"/>
  <c r="AF9" i="2" s="1"/>
  <c r="AG9" i="2" s="1"/>
  <c r="AH9" i="2" s="1"/>
  <c r="AI9" i="2" s="1"/>
  <c r="AJ9" i="2" s="1"/>
  <c r="AK9" i="2" s="1"/>
  <c r="AL9" i="2" s="1"/>
  <c r="AM9" i="2" s="1"/>
  <c r="AN9" i="2" s="1"/>
  <c r="AO9" i="2" s="1"/>
  <c r="AP9" i="2" s="1"/>
  <c r="AQ9" i="2" s="1"/>
  <c r="AR9" i="2" s="1"/>
  <c r="AS9" i="2" s="1"/>
  <c r="AT9" i="2" s="1"/>
  <c r="AU9" i="2" s="1"/>
  <c r="AV9" i="2" s="1"/>
  <c r="AW9" i="2" s="1"/>
  <c r="AX9" i="2" s="1"/>
  <c r="AY9" i="2" s="1"/>
  <c r="AZ9" i="2" s="1"/>
  <c r="BA9" i="2" s="1"/>
  <c r="B14" i="6"/>
  <c r="B15" i="6" s="1"/>
  <c r="B16" i="6" s="1"/>
  <c r="B17" i="6" s="1"/>
  <c r="B18" i="6"/>
  <c r="B19" i="6" s="1"/>
  <c r="B20" i="6" s="1"/>
  <c r="B21" i="6" s="1"/>
  <c r="B7" i="5"/>
  <c r="A7" i="5"/>
  <c r="BB9" i="2" l="1"/>
  <c r="BC9" i="2" s="1"/>
  <c r="BD9" i="2" s="1"/>
  <c r="BE9" i="2" s="1"/>
  <c r="BF9" i="2" s="1"/>
  <c r="BG9" i="2" s="1"/>
  <c r="BH9" i="2" s="1"/>
  <c r="BI9" i="2" s="1"/>
  <c r="BJ9" i="2" s="1"/>
  <c r="BK9" i="2" s="1"/>
  <c r="BL9" i="2" s="1"/>
  <c r="BM9" i="2" s="1"/>
  <c r="BN9" i="2" s="1"/>
  <c r="BO9" i="2" s="1"/>
  <c r="BP9" i="2" s="1"/>
  <c r="BQ9" i="2" s="1"/>
  <c r="BR9" i="2" s="1"/>
  <c r="BS9" i="2" s="1"/>
  <c r="BT9" i="2" s="1"/>
  <c r="BU9" i="2" s="1"/>
  <c r="BV9" i="2" s="1"/>
  <c r="BW9" i="2" s="1"/>
  <c r="BX9" i="2" s="1"/>
  <c r="BY9" i="2" s="1"/>
  <c r="BZ9" i="2" s="1"/>
  <c r="CA9" i="2" s="1"/>
  <c r="CB9" i="2" s="1"/>
  <c r="CC9" i="2" s="1"/>
  <c r="CD9" i="2" s="1"/>
  <c r="CE9" i="2" s="1"/>
  <c r="CF9" i="2" s="1"/>
  <c r="CG9" i="2" s="1"/>
  <c r="CH9" i="2" s="1"/>
  <c r="CI9" i="2" s="1"/>
  <c r="CJ9" i="2" s="1"/>
  <c r="CK9" i="2" s="1"/>
  <c r="CL9" i="2" s="1"/>
  <c r="CM9" i="2" s="1"/>
  <c r="CN9" i="2" s="1"/>
  <c r="CO9" i="2" s="1"/>
  <c r="CP9" i="2" s="1"/>
  <c r="CQ9" i="2" s="1"/>
  <c r="CR9" i="2" s="1"/>
  <c r="CS9" i="2" s="1"/>
  <c r="CT9" i="2" s="1"/>
  <c r="CU9" i="2" s="1"/>
  <c r="CV9" i="2" s="1"/>
  <c r="CW9" i="2" s="1"/>
  <c r="CX9" i="2" s="1"/>
  <c r="CY9" i="2" s="1"/>
  <c r="CZ9" i="2" s="1"/>
  <c r="B19" i="2"/>
  <c r="B8" i="5"/>
  <c r="A8" i="5"/>
  <c r="E31" i="2" l="1"/>
  <c r="Q29" i="4"/>
  <c r="B9" i="5"/>
  <c r="A9" i="5"/>
  <c r="B10" i="5" l="1"/>
  <c r="A10" i="5"/>
  <c r="B11" i="5" l="1"/>
  <c r="A11" i="5"/>
  <c r="B12" i="5" l="1"/>
  <c r="A12" i="5"/>
  <c r="B13" i="5" l="1"/>
  <c r="A13" i="5"/>
  <c r="B14" i="5" l="1"/>
  <c r="A14" i="5"/>
  <c r="B15" i="5" l="1"/>
  <c r="A16" i="5" s="1"/>
  <c r="A15" i="5"/>
  <c r="I71" i="4" l="1"/>
  <c r="C5" i="6" l="1"/>
  <c r="C28" i="1" l="1"/>
  <c r="A27" i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C29" i="1" l="1"/>
  <c r="C30" i="1" l="1"/>
  <c r="C32" i="2" l="1"/>
  <c r="C31" i="1"/>
  <c r="E32" i="2" l="1"/>
  <c r="C32" i="1"/>
  <c r="C33" i="1" l="1"/>
  <c r="C34" i="1" l="1"/>
  <c r="C35" i="1" l="1"/>
  <c r="C36" i="1" l="1"/>
  <c r="C37" i="1" l="1"/>
  <c r="C38" i="1" l="1"/>
  <c r="C39" i="1" l="1"/>
  <c r="C40" i="1" l="1"/>
  <c r="C41" i="1" l="1"/>
  <c r="C42" i="1" l="1"/>
  <c r="C43" i="1" l="1"/>
  <c r="C44" i="1" l="1"/>
  <c r="C45" i="1" l="1"/>
  <c r="C46" i="1" l="1"/>
  <c r="C33" i="2" l="1"/>
  <c r="C34" i="2" s="1"/>
  <c r="E34" i="2" s="1"/>
  <c r="C47" i="1"/>
  <c r="E33" i="2" l="1"/>
  <c r="C48" i="1"/>
  <c r="C49" i="1" l="1"/>
  <c r="C50" i="1" l="1"/>
  <c r="C51" i="1" l="1"/>
  <c r="C35" i="2" l="1"/>
  <c r="C52" i="1"/>
  <c r="E35" i="2" l="1"/>
  <c r="C53" i="1"/>
  <c r="C54" i="1" l="1"/>
  <c r="C36" i="2" l="1"/>
  <c r="C37" i="2" s="1"/>
  <c r="C55" i="1"/>
  <c r="E37" i="2" l="1"/>
  <c r="C38" i="2"/>
  <c r="E38" i="2" s="1"/>
  <c r="E36" i="2"/>
  <c r="C56" i="1"/>
  <c r="C57" i="1" l="1"/>
  <c r="C58" i="1" l="1"/>
  <c r="C59" i="1" l="1"/>
  <c r="C39" i="2" l="1"/>
  <c r="C40" i="2" s="1"/>
  <c r="C60" i="1"/>
  <c r="E40" i="2" l="1"/>
  <c r="C41" i="2"/>
  <c r="E39" i="2"/>
  <c r="C61" i="1"/>
  <c r="C42" i="2" l="1"/>
  <c r="E41" i="2"/>
  <c r="C62" i="1"/>
  <c r="C43" i="2" l="1"/>
  <c r="E42" i="2"/>
  <c r="C63" i="1"/>
  <c r="E43" i="2" l="1"/>
  <c r="C44" i="2"/>
  <c r="C64" i="1"/>
  <c r="C45" i="2" l="1"/>
  <c r="E44" i="2"/>
  <c r="C65" i="1"/>
  <c r="E45" i="2" l="1"/>
  <c r="C46" i="2"/>
  <c r="C66" i="1"/>
  <c r="C47" i="2" l="1"/>
  <c r="E46" i="2"/>
  <c r="C67" i="1"/>
  <c r="C48" i="2" l="1"/>
  <c r="E47" i="2"/>
  <c r="C68" i="1"/>
  <c r="E48" i="2" l="1"/>
  <c r="C49" i="2"/>
  <c r="C69" i="1"/>
  <c r="E49" i="2" l="1"/>
  <c r="C50" i="2"/>
  <c r="C70" i="1"/>
  <c r="C51" i="2" l="1"/>
  <c r="E50" i="2"/>
  <c r="C71" i="1"/>
  <c r="C52" i="2" l="1"/>
  <c r="E51" i="2"/>
  <c r="C72" i="1"/>
  <c r="E52" i="2" l="1"/>
  <c r="C53" i="2"/>
  <c r="C73" i="1"/>
  <c r="E53" i="2" l="1"/>
  <c r="C54" i="2"/>
  <c r="C74" i="1"/>
  <c r="E54" i="2" l="1"/>
  <c r="C55" i="2"/>
  <c r="C75" i="1"/>
  <c r="E55" i="2" l="1"/>
  <c r="C56" i="2"/>
  <c r="C76" i="1"/>
  <c r="E56" i="2" l="1"/>
  <c r="C57" i="2"/>
  <c r="C77" i="1"/>
  <c r="C58" i="2" l="1"/>
  <c r="E57" i="2"/>
  <c r="C78" i="1"/>
  <c r="C59" i="2" l="1"/>
  <c r="E58" i="2"/>
  <c r="C79" i="1"/>
  <c r="C60" i="2" l="1"/>
  <c r="E59" i="2"/>
  <c r="C80" i="1"/>
  <c r="E60" i="2" l="1"/>
  <c r="C61" i="2"/>
  <c r="C81" i="1"/>
  <c r="E61" i="2" l="1"/>
  <c r="C62" i="2"/>
  <c r="C82" i="1"/>
  <c r="E62" i="2" l="1"/>
  <c r="C63" i="2"/>
  <c r="C83" i="1"/>
  <c r="C64" i="2" l="1"/>
  <c r="E63" i="2"/>
  <c r="C84" i="1"/>
  <c r="E64" i="2" l="1"/>
  <c r="C65" i="2"/>
  <c r="C85" i="1"/>
  <c r="E65" i="2" l="1"/>
  <c r="C66" i="2"/>
  <c r="C86" i="1"/>
  <c r="C67" i="2" l="1"/>
  <c r="E66" i="2"/>
  <c r="C87" i="1"/>
  <c r="E67" i="2" l="1"/>
  <c r="C68" i="2"/>
  <c r="C88" i="1"/>
  <c r="C69" i="2" l="1"/>
  <c r="E68" i="2"/>
  <c r="C89" i="1"/>
  <c r="E69" i="2" l="1"/>
  <c r="C70" i="2"/>
  <c r="C90" i="1"/>
  <c r="C71" i="2" l="1"/>
  <c r="E70" i="2"/>
  <c r="C91" i="1"/>
  <c r="E71" i="2" l="1"/>
  <c r="C72" i="2"/>
  <c r="C92" i="1"/>
  <c r="E72" i="2" l="1"/>
  <c r="C73" i="2"/>
  <c r="C93" i="1"/>
  <c r="E73" i="2" l="1"/>
  <c r="C74" i="2"/>
  <c r="C94" i="1"/>
  <c r="E74" i="2" l="1"/>
  <c r="C75" i="2"/>
  <c r="C95" i="1"/>
  <c r="E75" i="2" l="1"/>
  <c r="C76" i="2"/>
  <c r="C96" i="1"/>
  <c r="E76" i="2" l="1"/>
  <c r="C77" i="2"/>
  <c r="C97" i="1"/>
  <c r="E77" i="2" l="1"/>
  <c r="C78" i="2"/>
  <c r="C98" i="1"/>
  <c r="E78" i="2" l="1"/>
  <c r="C79" i="2"/>
  <c r="C99" i="1"/>
  <c r="E79" i="2" l="1"/>
  <c r="C80" i="2"/>
  <c r="C100" i="1"/>
  <c r="E80" i="2" l="1"/>
  <c r="C81" i="2"/>
  <c r="C101" i="1"/>
  <c r="E81" i="2" l="1"/>
  <c r="C82" i="2"/>
  <c r="C102" i="1"/>
  <c r="E82" i="2" l="1"/>
  <c r="C83" i="2"/>
  <c r="C103" i="1"/>
  <c r="E83" i="2" l="1"/>
  <c r="C84" i="2"/>
  <c r="C104" i="1"/>
  <c r="E84" i="2" l="1"/>
  <c r="C85" i="2"/>
  <c r="C105" i="1"/>
  <c r="E85" i="2" l="1"/>
  <c r="C86" i="2"/>
  <c r="C106" i="1"/>
  <c r="E86" i="2" l="1"/>
  <c r="C87" i="2"/>
  <c r="C107" i="1"/>
  <c r="E87" i="2" l="1"/>
  <c r="C88" i="2"/>
  <c r="C108" i="1"/>
  <c r="E88" i="2" l="1"/>
  <c r="C89" i="2"/>
  <c r="C109" i="1"/>
  <c r="E89" i="2" l="1"/>
  <c r="C90" i="2"/>
  <c r="C110" i="1"/>
  <c r="E90" i="2" l="1"/>
  <c r="C91" i="2"/>
  <c r="C111" i="1"/>
  <c r="E91" i="2" l="1"/>
  <c r="C92" i="2"/>
  <c r="C112" i="1"/>
  <c r="E92" i="2" l="1"/>
  <c r="C93" i="2"/>
  <c r="C113" i="1"/>
  <c r="E93" i="2" l="1"/>
  <c r="C94" i="2"/>
  <c r="C114" i="1"/>
  <c r="E94" i="2" l="1"/>
  <c r="C95" i="2"/>
  <c r="C115" i="1"/>
  <c r="E95" i="2" l="1"/>
  <c r="C96" i="2"/>
  <c r="C116" i="1"/>
  <c r="E96" i="2" l="1"/>
  <c r="C97" i="2"/>
  <c r="C117" i="1"/>
  <c r="E97" i="2" l="1"/>
  <c r="C98" i="2"/>
  <c r="C118" i="1"/>
  <c r="E98" i="2" l="1"/>
  <c r="C99" i="2"/>
  <c r="C119" i="1"/>
  <c r="E99" i="2" l="1"/>
  <c r="C100" i="2"/>
  <c r="C120" i="1"/>
  <c r="E100" i="2" l="1"/>
  <c r="C101" i="2"/>
  <c r="C121" i="1"/>
  <c r="E101" i="2" l="1"/>
  <c r="C102" i="2"/>
  <c r="C122" i="1"/>
  <c r="E102" i="2" l="1"/>
  <c r="C103" i="2"/>
  <c r="C123" i="1"/>
  <c r="E103" i="2" l="1"/>
  <c r="C104" i="2"/>
  <c r="C124" i="1"/>
  <c r="E104" i="2" l="1"/>
  <c r="C105" i="2"/>
  <c r="C125" i="1"/>
  <c r="E105" i="2" l="1"/>
  <c r="C106" i="2"/>
  <c r="C126" i="1"/>
  <c r="E106" i="2" l="1"/>
  <c r="C107" i="2"/>
  <c r="H32" i="2"/>
  <c r="E107" i="2" l="1"/>
  <c r="C108" i="2"/>
  <c r="E108" i="2" l="1"/>
  <c r="C109" i="2"/>
  <c r="E109" i="2" l="1"/>
  <c r="C110" i="2"/>
  <c r="E110" i="2" l="1"/>
  <c r="C111" i="2"/>
  <c r="E111" i="2" l="1"/>
  <c r="C112" i="2"/>
  <c r="E112" i="2" l="1"/>
  <c r="C113" i="2"/>
  <c r="E113" i="2" l="1"/>
  <c r="C114" i="2"/>
  <c r="E114" i="2" l="1"/>
  <c r="C115" i="2"/>
  <c r="E115" i="2" l="1"/>
  <c r="C116" i="2"/>
  <c r="E116" i="2" l="1"/>
  <c r="C117" i="2"/>
  <c r="E117" i="2" l="1"/>
  <c r="C118" i="2"/>
  <c r="E118" i="2" l="1"/>
  <c r="C119" i="2"/>
  <c r="E119" i="2" l="1"/>
  <c r="C120" i="2"/>
  <c r="E120" i="2" l="1"/>
  <c r="C121" i="2"/>
  <c r="E121" i="2" l="1"/>
  <c r="C122" i="2"/>
  <c r="E122" i="2" l="1"/>
  <c r="C123" i="2"/>
  <c r="E123" i="2" l="1"/>
  <c r="C124" i="2"/>
  <c r="E124" i="2" l="1"/>
  <c r="C125" i="2"/>
  <c r="E125" i="2" l="1"/>
  <c r="C126" i="2"/>
  <c r="E126" i="2" l="1"/>
  <c r="C127" i="2"/>
  <c r="E127" i="2" l="1"/>
  <c r="C128" i="2"/>
  <c r="E128" i="2" l="1"/>
  <c r="C129" i="2"/>
  <c r="E129" i="2" l="1"/>
  <c r="C130" i="2"/>
  <c r="E130" i="2" s="1"/>
  <c r="C23" i="2" l="1"/>
  <c r="H30" i="2"/>
  <c r="I2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Q29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Autore:</t>
        </r>
        <r>
          <rPr>
            <sz val="8"/>
            <color indexed="81"/>
            <rFont val="Tahoma"/>
            <family val="2"/>
          </rPr>
          <t xml:space="preserve">
test chi-quadro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I26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Autore:</t>
        </r>
        <r>
          <rPr>
            <sz val="8"/>
            <color indexed="81"/>
            <rFont val="Tahoma"/>
            <family val="2"/>
          </rPr>
          <t xml:space="preserve">
da non cancellare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B1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CONSIDERO UN SOLO RISCHIO ANNO</t>
        </r>
      </text>
    </comment>
    <comment ref="B2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CONSIDERO UN SOLO RISCHIO ANNO</t>
        </r>
      </text>
    </comment>
  </commentList>
</comments>
</file>

<file path=xl/sharedStrings.xml><?xml version="1.0" encoding="utf-8"?>
<sst xmlns="http://schemas.openxmlformats.org/spreadsheetml/2006/main" count="195" uniqueCount="136">
  <si>
    <t xml:space="preserve">POISSON </t>
  </si>
  <si>
    <t>NUMERO DEI SINISTRI (n)</t>
  </si>
  <si>
    <t>PROB(N=n)</t>
  </si>
  <si>
    <t>PROB(N&lt;=n)</t>
  </si>
  <si>
    <t>NUM.CASUALE [0,1]</t>
  </si>
  <si>
    <t>LOGNORMALE</t>
  </si>
  <si>
    <t>SIM.NUM.SINISTRI</t>
  </si>
  <si>
    <t>NUM.SINISTRI SIMULATO</t>
  </si>
  <si>
    <t>DANNO AGGREGATO</t>
  </si>
  <si>
    <t>IMPORTO Yi</t>
  </si>
  <si>
    <t>LAMBDA (PTF)</t>
  </si>
  <si>
    <t>NUM. RISCHI ANNO</t>
  </si>
  <si>
    <t>BINOMIALE NEGATIVA</t>
  </si>
  <si>
    <t>Simulazione</t>
  </si>
  <si>
    <t>Poisson</t>
  </si>
  <si>
    <t>Bin-Neg</t>
  </si>
  <si>
    <t>alpha(PTF)</t>
  </si>
  <si>
    <t>tau(PTF)</t>
  </si>
  <si>
    <t>N°Sim</t>
  </si>
  <si>
    <t>MEDIA</t>
  </si>
  <si>
    <t>VARIANZA</t>
  </si>
  <si>
    <t>PERCENTILE</t>
  </si>
  <si>
    <t>ANALITICO</t>
  </si>
  <si>
    <t>SIMULATA</t>
  </si>
  <si>
    <t>Binomiale Negativa</t>
  </si>
  <si>
    <t>E(N,R)</t>
  </si>
  <si>
    <t>Var(N,R)</t>
  </si>
  <si>
    <t>E(N,PTF)</t>
  </si>
  <si>
    <t>Var(N,PTF)</t>
  </si>
  <si>
    <t>alpha</t>
  </si>
  <si>
    <t>tau</t>
  </si>
  <si>
    <t>Consideriamo la distribuzione del numero dei sinistri per un portafoglio R.C.A.</t>
  </si>
  <si>
    <t>1) Poisson</t>
  </si>
  <si>
    <t>Numero sinistri</t>
  </si>
  <si>
    <t>Numero polizze</t>
  </si>
  <si>
    <t>Frequenze relative</t>
  </si>
  <si>
    <t>Media</t>
  </si>
  <si>
    <t>Varianza</t>
  </si>
  <si>
    <t xml:space="preserve">F.R. Poisson
</t>
  </si>
  <si>
    <t>F.A. Poisson</t>
  </si>
  <si>
    <t>&gt;4</t>
  </si>
  <si>
    <t>Totale</t>
  </si>
  <si>
    <t>Chi-quadro</t>
  </si>
  <si>
    <t>&gt;=3</t>
  </si>
  <si>
    <r>
      <t>H</t>
    </r>
    <r>
      <rPr>
        <b/>
        <vertAlign val="subscript"/>
        <sz val="12"/>
        <rFont val="Lucida Sans"/>
        <family val="2"/>
      </rPr>
      <t>0</t>
    </r>
    <r>
      <rPr>
        <b/>
        <sz val="12"/>
        <rFont val="Lucida Sans"/>
        <family val="2"/>
      </rPr>
      <t>: i dati provengono da una popolazione in cui le frequenze sono date dalle p</t>
    </r>
    <r>
      <rPr>
        <b/>
        <vertAlign val="subscript"/>
        <sz val="12"/>
        <rFont val="Lucida Sans"/>
        <family val="2"/>
      </rPr>
      <t>k</t>
    </r>
  </si>
  <si>
    <t>Chi-quadro empirico</t>
  </si>
  <si>
    <t>rifiuto</t>
  </si>
  <si>
    <t>Chi-quadro teorico</t>
  </si>
  <si>
    <t>accetto</t>
  </si>
  <si>
    <r>
      <t>H</t>
    </r>
    <r>
      <rPr>
        <b/>
        <vertAlign val="subscript"/>
        <sz val="12"/>
        <rFont val="Lucida Sans"/>
        <family val="2"/>
      </rPr>
      <t>1</t>
    </r>
    <r>
      <rPr>
        <b/>
        <sz val="12"/>
        <rFont val="Lucida Sans"/>
        <family val="2"/>
      </rPr>
      <t>: i dati provengono da un'altra popolazione</t>
    </r>
  </si>
  <si>
    <t xml:space="preserve">Test </t>
  </si>
  <si>
    <t>1) Binomiale Negativa</t>
  </si>
  <si>
    <t>F.R. Bin-Neg</t>
  </si>
  <si>
    <t>F.A. Bin-Neg</t>
  </si>
  <si>
    <t>CLASSE</t>
  </si>
  <si>
    <t>NUM.SIN.</t>
  </si>
  <si>
    <t>VAL.MEDIO</t>
  </si>
  <si>
    <t>A</t>
  </si>
  <si>
    <t>B</t>
  </si>
  <si>
    <t>OLTRE 4201</t>
  </si>
  <si>
    <t>E(Y)</t>
  </si>
  <si>
    <t>VAR(Y)</t>
  </si>
  <si>
    <t>DS(Y)</t>
  </si>
  <si>
    <t>E(N)</t>
  </si>
  <si>
    <t>VAR(N)</t>
  </si>
  <si>
    <t>DS</t>
  </si>
  <si>
    <t>SCARTI</t>
  </si>
  <si>
    <t>P-L</t>
  </si>
  <si>
    <t>BN-L</t>
  </si>
  <si>
    <t>B.N.-L</t>
  </si>
  <si>
    <t>LAMBDA (RISCHIO)</t>
  </si>
  <si>
    <t>PREMIO EQUO</t>
  </si>
  <si>
    <t>PREMIO PURO</t>
  </si>
  <si>
    <t>VARIANZA DI S (i)</t>
  </si>
  <si>
    <t>PRINCIPIO DELLA VARIANZA beta</t>
  </si>
  <si>
    <t>NUMERO DI ASSICURATI</t>
  </si>
  <si>
    <t>PREMIO PURO DI PTF</t>
  </si>
  <si>
    <t>GUADAGNO ATTESO</t>
  </si>
  <si>
    <t>VaR(99,5%,S(PTF))</t>
  </si>
  <si>
    <t>PERDITA MASSIMA CON PROB. 99,5% (PM)</t>
  </si>
  <si>
    <t>PM/PP(PTF)</t>
  </si>
  <si>
    <r>
      <t xml:space="preserve">       </t>
    </r>
    <r>
      <rPr>
        <sz val="14"/>
        <color indexed="20"/>
        <rFont val="Lucida Sans"/>
        <family val="2"/>
      </rPr>
      <t xml:space="preserve">Obiettivo: modellizzare la distribuzione dei dati empirici sia con una </t>
    </r>
    <r>
      <rPr>
        <u/>
        <sz val="14"/>
        <color indexed="20"/>
        <rFont val="Lucida Sans"/>
        <family val="2"/>
      </rPr>
      <t>Poisson</t>
    </r>
    <r>
      <rPr>
        <sz val="14"/>
        <color indexed="20"/>
        <rFont val="Lucida Sans"/>
        <family val="2"/>
      </rPr>
      <t xml:space="preserve"> che con una </t>
    </r>
    <r>
      <rPr>
        <u/>
        <sz val="14"/>
        <color indexed="20"/>
        <rFont val="Lucida Sans"/>
        <family val="2"/>
      </rPr>
      <t>Binomiale Negativa</t>
    </r>
    <r>
      <rPr>
        <sz val="14"/>
        <color indexed="20"/>
        <rFont val="Lucida Sans"/>
        <family val="2"/>
      </rPr>
      <t>, attraverso il metodo dei momenti</t>
    </r>
  </si>
  <si>
    <t>Numero polizze=numero rischio anno</t>
  </si>
  <si>
    <t>MODELLO</t>
  </si>
  <si>
    <t>N</t>
  </si>
  <si>
    <t>Y</t>
  </si>
  <si>
    <t>POISSON</t>
  </si>
  <si>
    <t>BN</t>
  </si>
  <si>
    <t>LOGN</t>
  </si>
  <si>
    <t>PAR 1</t>
  </si>
  <si>
    <t>PAR 2</t>
  </si>
  <si>
    <t>ALGORITMO SIMULATIVO</t>
  </si>
  <si>
    <t>SIMULO ni VOLTE L'IMPORTO DEL SINGOLO SINISTRO (y1,..,yni)</t>
  </si>
  <si>
    <t>FISSO IL NUMERO DI SIMULAZIONI k</t>
  </si>
  <si>
    <t>RIPETO I PASSI DA 1 A 3 k VOLTE</t>
  </si>
  <si>
    <t>SIMULO IL NUMERO DEI SINISTRI (ni) DOVE i=1,...,k</t>
  </si>
  <si>
    <t>CALCOLO TUTTE LE STATISTICHE CHE MI OCCORRONO CON LA DISTRIBUZIONE DI S</t>
  </si>
  <si>
    <t>CALCOLO IL VALORE DEL DANNO AGGREGATO i-ESIMO (si=y1+…+yni)</t>
  </si>
  <si>
    <t>ni</t>
  </si>
  <si>
    <t>pi</t>
  </si>
  <si>
    <t>casuale uniforme (0,1)</t>
  </si>
  <si>
    <t>evento</t>
  </si>
  <si>
    <t>E(S)</t>
  </si>
  <si>
    <t>VAR(S)</t>
  </si>
  <si>
    <t>DS(S)</t>
  </si>
  <si>
    <t>DANNO AGGREGATO P-LN</t>
  </si>
  <si>
    <t>DANNO AGGREGATO BN-LN</t>
  </si>
  <si>
    <t>BN-LN</t>
  </si>
  <si>
    <t>SPESE DI GESTIONE</t>
  </si>
  <si>
    <t>PREMIO DI TARIFFA</t>
  </si>
  <si>
    <t>VaR(99,5%,S(PTF)+E(PTF))</t>
  </si>
  <si>
    <t>SCR(MI)</t>
  </si>
  <si>
    <t>COC(MI)</t>
  </si>
  <si>
    <t>E(U,NCOC,MI)</t>
  </si>
  <si>
    <t>RORAC(MI)</t>
  </si>
  <si>
    <t>SCR(FS)</t>
  </si>
  <si>
    <t>COC(FS)</t>
  </si>
  <si>
    <t>E(U,NCOC,FS)</t>
  </si>
  <si>
    <t>RORAC(FS)</t>
  </si>
  <si>
    <t>RORAC(MI,LOGN(S))</t>
  </si>
  <si>
    <t>LOGNOMALE</t>
  </si>
  <si>
    <t>VAR(99,5%,S)</t>
  </si>
  <si>
    <t>VaR(99,5%,S(PTF,LOGN)+E(PTF))</t>
  </si>
  <si>
    <t>SCR(MI,LOGN(S))</t>
  </si>
  <si>
    <t>COC(MI,LOGN(S))</t>
  </si>
  <si>
    <t>E(U,NCOC,MI,LOGN(S))</t>
  </si>
  <si>
    <t>ALFA</t>
  </si>
  <si>
    <t>Percentile</t>
  </si>
  <si>
    <t>MASSIMALE</t>
  </si>
  <si>
    <t>FRANCHIGIA ASS</t>
  </si>
  <si>
    <t>PREMIO TARIFFA</t>
  </si>
  <si>
    <t>RORAC</t>
  </si>
  <si>
    <t>FRANCHIGIA</t>
  </si>
  <si>
    <t>NO</t>
  </si>
  <si>
    <t>Tvar</t>
  </si>
  <si>
    <t>Pvar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</si>
</sst>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6" formatCode="#,##0\ &quot;€&quot;;[Red]\-#,##0\ &quot;€&quot;"/>
    <numFmt numFmtId="43" formatCode="_-* #,##0.00_-;\-* #,##0.00_-;_-* &quot;-&quot;??_-;_-@_-"/>
    <numFmt numFmtId="164" formatCode="_-* #,##0.000_-;\-* #,##0.000_-;_-* &quot;-&quot;??_-;_-@_-"/>
    <numFmt numFmtId="165" formatCode="_-* #,##0.0000_-;\-* #,##0.0000_-;_-* &quot;-&quot;??_-;_-@_-"/>
    <numFmt numFmtId="166" formatCode="_-* #,##0_-;\-* #,##0_-;_-* &quot;-&quot;??_-;_-@_-"/>
    <numFmt numFmtId="167" formatCode="_-* #,##0.0_-;\-* #,##0.0_-;_-* &quot;-&quot;??_-;_-@_-"/>
    <numFmt numFmtId="168" formatCode="#,##0.000"/>
    <numFmt numFmtId="169" formatCode="0.000"/>
    <numFmt numFmtId="170" formatCode="0.00000"/>
    <numFmt numFmtId="171" formatCode="0.000000"/>
    <numFmt numFmtId="172" formatCode="0.0000%"/>
    <numFmt numFmtId="173" formatCode="0.0000000%"/>
    <numFmt numFmtId="174" formatCode="0.0000"/>
    <numFmt numFmtId="175" formatCode="0.0%"/>
    <numFmt numFmtId="176" formatCode="_-* #,##0.000000000000_-;\-* #,##0.000000000000_-;_-* &quot;-&quot;??_-;_-@_-"/>
    <numFmt numFmtId="177" formatCode="_-* #,##0.00000000000000000_-;\-* #,##0.00000000000000000_-;_-* &quot;-&quot;??_-;_-@_-"/>
    <numFmt numFmtId="178" formatCode="_-* #,##0.00000_-;\-* #,##0.00000_-;_-* &quot;-&quot;??_-;_-@_-"/>
    <numFmt numFmtId="179" formatCode="0.000000000%"/>
    <numFmt numFmtId="180" formatCode="_-* #,##0.00\ _€_-;\-* #,##0.00\ _€_-;_-* &quot;-&quot;??\ _€_-;_-@_-"/>
    <numFmt numFmtId="181" formatCode="_-* #,##0.0000000000000000_-;\-* #,##0.0000000000000000_-;_-* &quot;-&quot;??_-;_-@_-"/>
    <numFmt numFmtId="182" formatCode="_-* #,##0.000000000000000000_-;\-* #,##0.000000000000000000_-;_-* &quot;-&quot;??_-;_-@_-"/>
    <numFmt numFmtId="183" formatCode="_-* #,##0.00000000000000000000_-;\-* #,##0.00000000000000000000_-;_-* &quot;-&quot;??_-;_-@_-"/>
    <numFmt numFmtId="184" formatCode="_-* #,##0.00000000000000000000000000000_-;\-* #,##0.00000000000000000000000000000_-;_-* &quot;-&quot;??_-;_-@_-"/>
    <numFmt numFmtId="185" formatCode="#,##0.00\ &quot;€&quot;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name val="Constantia"/>
      <family val="1"/>
    </font>
    <font>
      <b/>
      <sz val="12"/>
      <name val="Constantia"/>
      <family val="1"/>
    </font>
    <font>
      <sz val="10"/>
      <name val="Arial"/>
      <family val="2"/>
    </font>
    <font>
      <b/>
      <sz val="11"/>
      <color rgb="FFCC0099"/>
      <name val="Lucida Sans"/>
      <family val="2"/>
    </font>
    <font>
      <sz val="11"/>
      <name val="Lucida Sans"/>
      <family val="2"/>
    </font>
    <font>
      <sz val="14"/>
      <color rgb="FF800080"/>
      <name val="Lucida Sans"/>
      <family val="2"/>
    </font>
    <font>
      <sz val="14"/>
      <name val="Lucida Sans"/>
      <family val="2"/>
    </font>
    <font>
      <sz val="14"/>
      <color indexed="18"/>
      <name val="Lucida Sans"/>
      <family val="2"/>
    </font>
    <font>
      <sz val="14"/>
      <color indexed="20"/>
      <name val="Lucida Sans"/>
      <family val="2"/>
    </font>
    <font>
      <u/>
      <sz val="14"/>
      <color indexed="20"/>
      <name val="Lucida Sans"/>
      <family val="2"/>
    </font>
    <font>
      <b/>
      <sz val="11"/>
      <name val="Lucida Sans"/>
      <family val="2"/>
    </font>
    <font>
      <b/>
      <i/>
      <sz val="11"/>
      <name val="Lucida Sans"/>
      <family val="2"/>
    </font>
    <font>
      <b/>
      <sz val="12"/>
      <name val="Lucida Sans"/>
      <family val="2"/>
    </font>
    <font>
      <b/>
      <vertAlign val="subscript"/>
      <sz val="12"/>
      <name val="Lucida Sans"/>
      <family val="2"/>
    </font>
    <font>
      <sz val="10"/>
      <name val="Lucida Sans"/>
      <family val="2"/>
    </font>
    <font>
      <b/>
      <i/>
      <sz val="12"/>
      <name val="Lucida Sans"/>
      <family val="2"/>
    </font>
    <font>
      <b/>
      <sz val="12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sz val="12"/>
      <color theme="1"/>
      <name val="Constantia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name val="Georgia"/>
      <family val="1"/>
    </font>
    <font>
      <sz val="11"/>
      <color theme="0"/>
      <name val="Calibri"/>
      <family val="2"/>
      <scheme val="minor"/>
    </font>
    <font>
      <sz val="12"/>
      <color theme="0"/>
      <name val="Constantia"/>
      <family val="1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221">
    <xf numFmtId="0" fontId="0" fillId="0" borderId="0" xfId="0"/>
    <xf numFmtId="0" fontId="3" fillId="0" borderId="1" xfId="0" applyFont="1" applyBorder="1"/>
    <xf numFmtId="166" fontId="3" fillId="0" borderId="1" xfId="1" applyNumberFormat="1" applyFont="1" applyBorder="1"/>
    <xf numFmtId="0" fontId="3" fillId="0" borderId="0" xfId="0" applyFont="1"/>
    <xf numFmtId="167" fontId="3" fillId="0" borderId="1" xfId="1" applyNumberFormat="1" applyFont="1" applyBorder="1"/>
    <xf numFmtId="0" fontId="4" fillId="0" borderId="1" xfId="0" applyFont="1" applyBorder="1"/>
    <xf numFmtId="164" fontId="3" fillId="0" borderId="0" xfId="1" applyNumberFormat="1" applyFont="1"/>
    <xf numFmtId="169" fontId="0" fillId="0" borderId="0" xfId="0" applyNumberFormat="1"/>
    <xf numFmtId="2" fontId="0" fillId="0" borderId="0" xfId="0" applyNumberFormat="1"/>
    <xf numFmtId="0" fontId="3" fillId="0" borderId="1" xfId="0" applyFont="1" applyBorder="1" applyAlignment="1">
      <alignment horizontal="center"/>
    </xf>
    <xf numFmtId="166" fontId="3" fillId="0" borderId="0" xfId="1" applyNumberFormat="1" applyFont="1"/>
    <xf numFmtId="0" fontId="0" fillId="0" borderId="1" xfId="0" applyBorder="1"/>
    <xf numFmtId="0" fontId="2" fillId="0" borderId="1" xfId="0" applyFont="1" applyBorder="1"/>
    <xf numFmtId="169" fontId="0" fillId="0" borderId="1" xfId="0" applyNumberFormat="1" applyBorder="1"/>
    <xf numFmtId="164" fontId="4" fillId="0" borderId="3" xfId="1" applyNumberFormat="1" applyFont="1" applyBorder="1"/>
    <xf numFmtId="166" fontId="0" fillId="0" borderId="1" xfId="1" applyNumberFormat="1" applyFont="1" applyBorder="1"/>
    <xf numFmtId="165" fontId="0" fillId="0" borderId="1" xfId="1" applyNumberFormat="1" applyFont="1" applyBorder="1"/>
    <xf numFmtId="0" fontId="2" fillId="0" borderId="0" xfId="0" applyFon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4" xfId="0" applyFill="1" applyBorder="1"/>
    <xf numFmtId="0" fontId="0" fillId="3" borderId="5" xfId="0" applyFill="1" applyBorder="1"/>
    <xf numFmtId="0" fontId="0" fillId="0" borderId="11" xfId="0" applyBorder="1" applyAlignment="1">
      <alignment vertical="center"/>
    </xf>
    <xf numFmtId="0" fontId="0" fillId="0" borderId="16" xfId="0" applyBorder="1" applyAlignment="1">
      <alignment vertical="center"/>
    </xf>
    <xf numFmtId="0" fontId="0" fillId="0" borderId="16" xfId="0" applyBorder="1"/>
    <xf numFmtId="164" fontId="0" fillId="0" borderId="16" xfId="1" applyNumberFormat="1" applyFont="1" applyBorder="1"/>
    <xf numFmtId="164" fontId="0" fillId="0" borderId="17" xfId="1" applyNumberFormat="1" applyFont="1" applyBorder="1"/>
    <xf numFmtId="0" fontId="0" fillId="4" borderId="2" xfId="0" applyFill="1" applyBorder="1"/>
    <xf numFmtId="0" fontId="0" fillId="4" borderId="18" xfId="0" applyFill="1" applyBorder="1"/>
    <xf numFmtId="0" fontId="0" fillId="4" borderId="13" xfId="0" applyFill="1" applyBorder="1"/>
    <xf numFmtId="0" fontId="0" fillId="4" borderId="14" xfId="0" applyFill="1" applyBorder="1"/>
    <xf numFmtId="10" fontId="0" fillId="0" borderId="1" xfId="2" applyNumberFormat="1" applyFont="1" applyBorder="1"/>
    <xf numFmtId="0" fontId="2" fillId="0" borderId="1" xfId="0" applyFont="1" applyBorder="1" applyAlignment="1">
      <alignment horizontal="center"/>
    </xf>
    <xf numFmtId="0" fontId="6" fillId="2" borderId="0" xfId="3" applyFont="1" applyFill="1" applyAlignment="1">
      <alignment vertical="center"/>
    </xf>
    <xf numFmtId="0" fontId="7" fillId="2" borderId="0" xfId="3" applyFont="1" applyFill="1" applyAlignment="1">
      <alignment vertical="center"/>
    </xf>
    <xf numFmtId="0" fontId="7" fillId="0" borderId="0" xfId="3" applyFont="1" applyAlignment="1">
      <alignment vertical="center"/>
    </xf>
    <xf numFmtId="0" fontId="13" fillId="2" borderId="6" xfId="3" applyFont="1" applyFill="1" applyBorder="1" applyAlignment="1">
      <alignment vertical="center"/>
    </xf>
    <xf numFmtId="0" fontId="13" fillId="2" borderId="7" xfId="3" applyFont="1" applyFill="1" applyBorder="1" applyAlignment="1">
      <alignment vertical="center"/>
    </xf>
    <xf numFmtId="0" fontId="7" fillId="2" borderId="7" xfId="3" applyFont="1" applyFill="1" applyBorder="1" applyAlignment="1">
      <alignment vertical="center"/>
    </xf>
    <xf numFmtId="0" fontId="7" fillId="2" borderId="8" xfId="3" applyFont="1" applyFill="1" applyBorder="1" applyAlignment="1">
      <alignment vertical="center"/>
    </xf>
    <xf numFmtId="0" fontId="7" fillId="2" borderId="11" xfId="3" applyFont="1" applyFill="1" applyBorder="1" applyAlignment="1">
      <alignment vertical="center"/>
    </xf>
    <xf numFmtId="0" fontId="7" fillId="2" borderId="19" xfId="3" applyFont="1" applyFill="1" applyBorder="1" applyAlignment="1">
      <alignment vertical="center"/>
    </xf>
    <xf numFmtId="0" fontId="14" fillId="2" borderId="1" xfId="3" applyFont="1" applyFill="1" applyBorder="1" applyAlignment="1">
      <alignment horizontal="center" vertical="center"/>
    </xf>
    <xf numFmtId="0" fontId="14" fillId="2" borderId="1" xfId="3" applyFont="1" applyFill="1" applyBorder="1" applyAlignment="1">
      <alignment horizontal="center" vertical="center" wrapText="1"/>
    </xf>
    <xf numFmtId="0" fontId="13" fillId="2" borderId="1" xfId="3" applyFont="1" applyFill="1" applyBorder="1" applyAlignment="1">
      <alignment horizontal="center" vertical="center"/>
    </xf>
    <xf numFmtId="172" fontId="7" fillId="2" borderId="1" xfId="5" applyNumberFormat="1" applyFont="1" applyFill="1" applyBorder="1" applyAlignment="1">
      <alignment horizontal="center" vertical="center"/>
    </xf>
    <xf numFmtId="10" fontId="7" fillId="2" borderId="1" xfId="5" applyNumberFormat="1" applyFont="1" applyFill="1" applyBorder="1" applyAlignment="1">
      <alignment horizontal="right" vertical="center"/>
    </xf>
    <xf numFmtId="10" fontId="7" fillId="2" borderId="1" xfId="5" applyNumberFormat="1" applyFont="1" applyFill="1" applyBorder="1" applyAlignment="1">
      <alignment vertical="center"/>
    </xf>
    <xf numFmtId="43" fontId="7" fillId="2" borderId="1" xfId="4" applyFont="1" applyFill="1" applyBorder="1" applyAlignment="1">
      <alignment vertical="center"/>
    </xf>
    <xf numFmtId="166" fontId="13" fillId="2" borderId="1" xfId="3" applyNumberFormat="1" applyFont="1" applyFill="1" applyBorder="1" applyAlignment="1">
      <alignment vertical="center"/>
    </xf>
    <xf numFmtId="165" fontId="13" fillId="2" borderId="1" xfId="3" applyNumberFormat="1" applyFont="1" applyFill="1" applyBorder="1" applyAlignment="1">
      <alignment vertical="center"/>
    </xf>
    <xf numFmtId="10" fontId="13" fillId="2" borderId="1" xfId="5" applyNumberFormat="1" applyFont="1" applyFill="1" applyBorder="1" applyAlignment="1">
      <alignment vertical="center"/>
    </xf>
    <xf numFmtId="0" fontId="13" fillId="2" borderId="0" xfId="3" applyFont="1" applyFill="1" applyAlignment="1">
      <alignment vertical="center"/>
    </xf>
    <xf numFmtId="166" fontId="13" fillId="2" borderId="0" xfId="3" applyNumberFormat="1" applyFont="1" applyFill="1" applyAlignment="1">
      <alignment vertical="center"/>
    </xf>
    <xf numFmtId="0" fontId="15" fillId="2" borderId="0" xfId="3" applyFont="1" applyFill="1" applyAlignment="1">
      <alignment horizontal="center" vertical="center"/>
    </xf>
    <xf numFmtId="166" fontId="7" fillId="2" borderId="1" xfId="4" applyNumberFormat="1" applyFont="1" applyFill="1" applyBorder="1" applyAlignment="1">
      <alignment vertical="center"/>
    </xf>
    <xf numFmtId="165" fontId="7" fillId="2" borderId="1" xfId="3" applyNumberFormat="1" applyFont="1" applyFill="1" applyBorder="1" applyAlignment="1">
      <alignment vertical="center"/>
    </xf>
    <xf numFmtId="166" fontId="7" fillId="2" borderId="0" xfId="3" applyNumberFormat="1" applyFont="1" applyFill="1" applyAlignment="1">
      <alignment vertical="center"/>
    </xf>
    <xf numFmtId="43" fontId="7" fillId="2" borderId="0" xfId="3" applyNumberFormat="1" applyFont="1" applyFill="1" applyAlignment="1">
      <alignment vertical="center"/>
    </xf>
    <xf numFmtId="43" fontId="13" fillId="2" borderId="1" xfId="4" applyFont="1" applyFill="1" applyBorder="1" applyAlignment="1">
      <alignment vertical="center"/>
    </xf>
    <xf numFmtId="169" fontId="13" fillId="2" borderId="1" xfId="3" applyNumberFormat="1" applyFont="1" applyFill="1" applyBorder="1" applyAlignment="1">
      <alignment horizontal="center" vertical="center"/>
    </xf>
    <xf numFmtId="0" fontId="7" fillId="6" borderId="0" xfId="3" applyFont="1" applyFill="1" applyAlignment="1">
      <alignment vertical="center"/>
    </xf>
    <xf numFmtId="0" fontId="17" fillId="2" borderId="0" xfId="3" applyFont="1" applyFill="1" applyAlignment="1">
      <alignment vertical="center"/>
    </xf>
    <xf numFmtId="0" fontId="17" fillId="2" borderId="19" xfId="3" applyFont="1" applyFill="1" applyBorder="1" applyAlignment="1">
      <alignment vertical="center"/>
    </xf>
    <xf numFmtId="0" fontId="15" fillId="2" borderId="0" xfId="3" applyFont="1" applyFill="1" applyAlignment="1">
      <alignment vertical="center"/>
    </xf>
    <xf numFmtId="0" fontId="18" fillId="2" borderId="0" xfId="3" applyFont="1" applyFill="1" applyAlignment="1">
      <alignment horizontal="center" vertical="center"/>
    </xf>
    <xf numFmtId="0" fontId="7" fillId="2" borderId="20" xfId="3" applyFont="1" applyFill="1" applyBorder="1" applyAlignment="1">
      <alignment vertical="center"/>
    </xf>
    <xf numFmtId="0" fontId="7" fillId="2" borderId="21" xfId="3" applyFont="1" applyFill="1" applyBorder="1" applyAlignment="1">
      <alignment vertical="center"/>
    </xf>
    <xf numFmtId="0" fontId="18" fillId="2" borderId="21" xfId="3" applyFont="1" applyFill="1" applyBorder="1" applyAlignment="1">
      <alignment horizontal="center" vertical="center"/>
    </xf>
    <xf numFmtId="0" fontId="15" fillId="2" borderId="21" xfId="3" applyFont="1" applyFill="1" applyBorder="1" applyAlignment="1">
      <alignment horizontal="center" vertical="center"/>
    </xf>
    <xf numFmtId="0" fontId="17" fillId="2" borderId="21" xfId="3" applyFont="1" applyFill="1" applyBorder="1" applyAlignment="1">
      <alignment vertical="center"/>
    </xf>
    <xf numFmtId="0" fontId="17" fillId="2" borderId="22" xfId="3" applyFont="1" applyFill="1" applyBorder="1" applyAlignment="1">
      <alignment vertical="center"/>
    </xf>
    <xf numFmtId="0" fontId="18" fillId="0" borderId="0" xfId="3" applyFont="1" applyAlignment="1">
      <alignment horizontal="center" vertical="center"/>
    </xf>
    <xf numFmtId="0" fontId="15" fillId="0" borderId="0" xfId="3" applyFont="1" applyAlignment="1">
      <alignment horizontal="center" vertical="center"/>
    </xf>
    <xf numFmtId="0" fontId="17" fillId="0" borderId="0" xfId="3" applyFont="1" applyAlignment="1">
      <alignment vertical="center"/>
    </xf>
    <xf numFmtId="0" fontId="18" fillId="2" borderId="7" xfId="3" applyFont="1" applyFill="1" applyBorder="1" applyAlignment="1">
      <alignment horizontal="center" vertical="center"/>
    </xf>
    <xf numFmtId="0" fontId="15" fillId="2" borderId="7" xfId="3" applyFont="1" applyFill="1" applyBorder="1" applyAlignment="1">
      <alignment horizontal="center" vertical="center"/>
    </xf>
    <xf numFmtId="0" fontId="17" fillId="2" borderId="7" xfId="3" applyFont="1" applyFill="1" applyBorder="1" applyAlignment="1">
      <alignment vertical="center"/>
    </xf>
    <xf numFmtId="0" fontId="17" fillId="2" borderId="8" xfId="3" applyFont="1" applyFill="1" applyBorder="1" applyAlignment="1">
      <alignment vertical="center"/>
    </xf>
    <xf numFmtId="174" fontId="7" fillId="2" borderId="0" xfId="3" applyNumberFormat="1" applyFont="1" applyFill="1" applyAlignment="1">
      <alignment vertical="center"/>
    </xf>
    <xf numFmtId="165" fontId="13" fillId="2" borderId="1" xfId="4" applyNumberFormat="1" applyFont="1" applyFill="1" applyBorder="1" applyAlignment="1">
      <alignment vertical="center"/>
    </xf>
    <xf numFmtId="166" fontId="13" fillId="2" borderId="1" xfId="4" applyNumberFormat="1" applyFont="1" applyFill="1" applyBorder="1" applyAlignment="1">
      <alignment vertical="center"/>
    </xf>
    <xf numFmtId="43" fontId="13" fillId="2" borderId="1" xfId="3" applyNumberFormat="1" applyFont="1" applyFill="1" applyBorder="1" applyAlignment="1">
      <alignment vertical="center"/>
    </xf>
    <xf numFmtId="0" fontId="13" fillId="2" borderId="0" xfId="3" applyFont="1" applyFill="1" applyAlignment="1">
      <alignment horizontal="center" vertical="center"/>
    </xf>
    <xf numFmtId="172" fontId="7" fillId="2" borderId="19" xfId="5" applyNumberFormat="1" applyFont="1" applyFill="1" applyBorder="1" applyAlignment="1">
      <alignment vertical="center"/>
    </xf>
    <xf numFmtId="2" fontId="15" fillId="2" borderId="1" xfId="3" applyNumberFormat="1" applyFont="1" applyFill="1" applyBorder="1" applyAlignment="1">
      <alignment horizontal="center"/>
    </xf>
    <xf numFmtId="2" fontId="7" fillId="2" borderId="0" xfId="3" applyNumberFormat="1" applyFont="1" applyFill="1" applyAlignment="1">
      <alignment vertical="center"/>
    </xf>
    <xf numFmtId="170" fontId="7" fillId="2" borderId="0" xfId="3" applyNumberFormat="1" applyFont="1" applyFill="1" applyAlignment="1">
      <alignment vertical="center"/>
    </xf>
    <xf numFmtId="0" fontId="5" fillId="0" borderId="0" xfId="3"/>
    <xf numFmtId="0" fontId="19" fillId="2" borderId="0" xfId="3" applyFont="1" applyFill="1" applyAlignment="1">
      <alignment wrapText="1"/>
    </xf>
    <xf numFmtId="0" fontId="5" fillId="2" borderId="0" xfId="3" applyFill="1" applyAlignment="1">
      <alignment wrapText="1"/>
    </xf>
    <xf numFmtId="0" fontId="5" fillId="2" borderId="0" xfId="3" applyFill="1"/>
    <xf numFmtId="0" fontId="19" fillId="2" borderId="0" xfId="3" applyFont="1" applyFill="1"/>
    <xf numFmtId="0" fontId="19" fillId="2" borderId="0" xfId="3" applyFont="1" applyFill="1" applyAlignment="1">
      <alignment horizontal="center"/>
    </xf>
    <xf numFmtId="0" fontId="5" fillId="2" borderId="21" xfId="3" applyFill="1" applyBorder="1"/>
    <xf numFmtId="0" fontId="7" fillId="2" borderId="22" xfId="3" applyFont="1" applyFill="1" applyBorder="1" applyAlignment="1">
      <alignment vertical="center"/>
    </xf>
    <xf numFmtId="0" fontId="22" fillId="0" borderId="1" xfId="3" applyFont="1" applyBorder="1"/>
    <xf numFmtId="0" fontId="22" fillId="0" borderId="0" xfId="3" applyFont="1"/>
    <xf numFmtId="166" fontId="0" fillId="0" borderId="1" xfId="4" applyNumberFormat="1" applyFont="1" applyBorder="1"/>
    <xf numFmtId="0" fontId="5" fillId="0" borderId="1" xfId="3" applyBorder="1"/>
    <xf numFmtId="166" fontId="0" fillId="0" borderId="0" xfId="4" applyNumberFormat="1" applyFont="1"/>
    <xf numFmtId="10" fontId="0" fillId="0" borderId="0" xfId="5" applyNumberFormat="1" applyFont="1"/>
    <xf numFmtId="166" fontId="5" fillId="0" borderId="1" xfId="4" applyNumberFormat="1" applyFont="1" applyBorder="1"/>
    <xf numFmtId="43" fontId="0" fillId="0" borderId="0" xfId="4" applyFont="1"/>
    <xf numFmtId="2" fontId="3" fillId="0" borderId="1" xfId="0" applyNumberFormat="1" applyFont="1" applyBorder="1"/>
    <xf numFmtId="0" fontId="2" fillId="3" borderId="1" xfId="0" applyFont="1" applyFill="1" applyBorder="1"/>
    <xf numFmtId="43" fontId="0" fillId="0" borderId="0" xfId="1" applyFont="1"/>
    <xf numFmtId="2" fontId="4" fillId="0" borderId="1" xfId="0" applyNumberFormat="1" applyFont="1" applyBorder="1"/>
    <xf numFmtId="167" fontId="0" fillId="0" borderId="1" xfId="1" applyNumberFormat="1" applyFont="1" applyBorder="1"/>
    <xf numFmtId="165" fontId="0" fillId="3" borderId="1" xfId="1" applyNumberFormat="1" applyFont="1" applyFill="1" applyBorder="1"/>
    <xf numFmtId="167" fontId="0" fillId="0" borderId="0" xfId="1" applyNumberFormat="1" applyFont="1"/>
    <xf numFmtId="167" fontId="3" fillId="0" borderId="0" xfId="1" applyNumberFormat="1" applyFont="1"/>
    <xf numFmtId="167" fontId="3" fillId="0" borderId="1" xfId="1" applyNumberFormat="1" applyFont="1" applyBorder="1" applyAlignment="1">
      <alignment horizontal="center"/>
    </xf>
    <xf numFmtId="167" fontId="4" fillId="0" borderId="3" xfId="1" applyNumberFormat="1" applyFont="1" applyBorder="1"/>
    <xf numFmtId="167" fontId="4" fillId="0" borderId="1" xfId="1" applyNumberFormat="1" applyFont="1" applyBorder="1"/>
    <xf numFmtId="167" fontId="2" fillId="3" borderId="1" xfId="1" applyNumberFormat="1" applyFont="1" applyFill="1" applyBorder="1"/>
    <xf numFmtId="166" fontId="2" fillId="0" borderId="1" xfId="1" applyNumberFormat="1" applyFont="1" applyBorder="1" applyAlignment="1">
      <alignment horizontal="center"/>
    </xf>
    <xf numFmtId="10" fontId="0" fillId="0" borderId="0" xfId="2" applyNumberFormat="1" applyFont="1"/>
    <xf numFmtId="167" fontId="23" fillId="3" borderId="1" xfId="1" applyNumberFormat="1" applyFont="1" applyFill="1" applyBorder="1"/>
    <xf numFmtId="0" fontId="0" fillId="2" borderId="1" xfId="0" applyFill="1" applyBorder="1"/>
    <xf numFmtId="166" fontId="0" fillId="3" borderId="1" xfId="1" applyNumberFormat="1" applyFont="1" applyFill="1" applyBorder="1"/>
    <xf numFmtId="43" fontId="3" fillId="0" borderId="1" xfId="1" applyFont="1" applyBorder="1"/>
    <xf numFmtId="174" fontId="0" fillId="5" borderId="1" xfId="0" applyNumberFormat="1" applyFill="1" applyBorder="1"/>
    <xf numFmtId="170" fontId="0" fillId="5" borderId="1" xfId="0" applyNumberFormat="1" applyFill="1" applyBorder="1"/>
    <xf numFmtId="171" fontId="0" fillId="5" borderId="1" xfId="0" applyNumberFormat="1" applyFill="1" applyBorder="1"/>
    <xf numFmtId="2" fontId="3" fillId="5" borderId="1" xfId="0" applyNumberFormat="1" applyFont="1" applyFill="1" applyBorder="1"/>
    <xf numFmtId="166" fontId="3" fillId="5" borderId="1" xfId="0" applyNumberFormat="1" applyFont="1" applyFill="1" applyBorder="1"/>
    <xf numFmtId="167" fontId="3" fillId="5" borderId="1" xfId="1" applyNumberFormat="1" applyFont="1" applyFill="1" applyBorder="1"/>
    <xf numFmtId="168" fontId="22" fillId="5" borderId="1" xfId="3" applyNumberFormat="1" applyFont="1" applyFill="1" applyBorder="1" applyAlignment="1">
      <alignment horizontal="center" vertical="center"/>
    </xf>
    <xf numFmtId="169" fontId="0" fillId="5" borderId="1" xfId="0" applyNumberFormat="1" applyFill="1" applyBorder="1"/>
    <xf numFmtId="167" fontId="2" fillId="5" borderId="1" xfId="1" applyNumberFormat="1" applyFont="1" applyFill="1" applyBorder="1"/>
    <xf numFmtId="43" fontId="0" fillId="5" borderId="1" xfId="1" applyFont="1" applyFill="1" applyBorder="1"/>
    <xf numFmtId="2" fontId="0" fillId="5" borderId="1" xfId="0" applyNumberFormat="1" applyFill="1" applyBorder="1"/>
    <xf numFmtId="166" fontId="0" fillId="5" borderId="12" xfId="1" applyNumberFormat="1" applyFont="1" applyFill="1" applyBorder="1"/>
    <xf numFmtId="166" fontId="0" fillId="5" borderId="1" xfId="1" applyNumberFormat="1" applyFont="1" applyFill="1" applyBorder="1"/>
    <xf numFmtId="166" fontId="0" fillId="5" borderId="1" xfId="0" applyNumberFormat="1" applyFill="1" applyBorder="1"/>
    <xf numFmtId="175" fontId="0" fillId="5" borderId="1" xfId="2" applyNumberFormat="1" applyFont="1" applyFill="1" applyBorder="1"/>
    <xf numFmtId="0" fontId="13" fillId="8" borderId="1" xfId="3" applyFont="1" applyFill="1" applyBorder="1" applyAlignment="1">
      <alignment horizontal="center" vertical="center"/>
    </xf>
    <xf numFmtId="172" fontId="7" fillId="2" borderId="1" xfId="5" applyNumberFormat="1" applyFont="1" applyFill="1" applyBorder="1" applyAlignment="1">
      <alignment vertical="center"/>
    </xf>
    <xf numFmtId="10" fontId="15" fillId="3" borderId="1" xfId="2" applyNumberFormat="1" applyFont="1" applyFill="1" applyBorder="1" applyAlignment="1">
      <alignment horizontal="center" vertical="center"/>
    </xf>
    <xf numFmtId="10" fontId="15" fillId="7" borderId="1" xfId="2" applyNumberFormat="1" applyFont="1" applyFill="1" applyBorder="1" applyAlignment="1">
      <alignment horizontal="center" vertical="center"/>
    </xf>
    <xf numFmtId="172" fontId="7" fillId="2" borderId="0" xfId="2" applyNumberFormat="1" applyFont="1" applyFill="1" applyAlignment="1">
      <alignment vertical="center"/>
    </xf>
    <xf numFmtId="173" fontId="7" fillId="7" borderId="1" xfId="5" applyNumberFormat="1" applyFont="1" applyFill="1" applyBorder="1" applyAlignment="1">
      <alignment vertical="center"/>
    </xf>
    <xf numFmtId="43" fontId="7" fillId="9" borderId="1" xfId="4" applyFont="1" applyFill="1" applyBorder="1" applyAlignment="1">
      <alignment vertical="center"/>
    </xf>
    <xf numFmtId="166" fontId="7" fillId="9" borderId="1" xfId="4" applyNumberFormat="1" applyFont="1" applyFill="1" applyBorder="1" applyAlignment="1">
      <alignment vertical="center"/>
    </xf>
    <xf numFmtId="43" fontId="13" fillId="3" borderId="1" xfId="4" applyFont="1" applyFill="1" applyBorder="1" applyAlignment="1">
      <alignment vertical="center"/>
    </xf>
    <xf numFmtId="178" fontId="7" fillId="5" borderId="1" xfId="4" applyNumberFormat="1" applyFont="1" applyFill="1" applyBorder="1" applyAlignment="1">
      <alignment vertical="center"/>
    </xf>
    <xf numFmtId="10" fontId="15" fillId="2" borderId="1" xfId="2" applyNumberFormat="1" applyFont="1" applyFill="1" applyBorder="1" applyAlignment="1">
      <alignment horizontal="center"/>
    </xf>
    <xf numFmtId="179" fontId="7" fillId="2" borderId="1" xfId="2" applyNumberFormat="1" applyFont="1" applyFill="1" applyBorder="1" applyAlignment="1">
      <alignment vertical="center"/>
    </xf>
    <xf numFmtId="179" fontId="7" fillId="3" borderId="1" xfId="2" applyNumberFormat="1" applyFont="1" applyFill="1" applyBorder="1" applyAlignment="1">
      <alignment vertical="center"/>
    </xf>
    <xf numFmtId="43" fontId="7" fillId="10" borderId="1" xfId="4" applyFont="1" applyFill="1" applyBorder="1" applyAlignment="1">
      <alignment vertical="center"/>
    </xf>
    <xf numFmtId="166" fontId="7" fillId="10" borderId="1" xfId="4" applyNumberFormat="1" applyFont="1" applyFill="1" applyBorder="1" applyAlignment="1">
      <alignment vertical="center"/>
    </xf>
    <xf numFmtId="180" fontId="7" fillId="2" borderId="0" xfId="3" applyNumberFormat="1" applyFont="1" applyFill="1" applyAlignment="1">
      <alignment vertical="center"/>
    </xf>
    <xf numFmtId="43" fontId="7" fillId="2" borderId="19" xfId="1" applyFont="1" applyFill="1" applyBorder="1" applyAlignment="1">
      <alignment vertical="center"/>
    </xf>
    <xf numFmtId="166" fontId="7" fillId="2" borderId="11" xfId="3" applyNumberFormat="1" applyFont="1" applyFill="1" applyBorder="1" applyAlignment="1">
      <alignment vertical="center"/>
    </xf>
    <xf numFmtId="43" fontId="5" fillId="0" borderId="1" xfId="3" applyNumberFormat="1" applyBorder="1"/>
    <xf numFmtId="166" fontId="5" fillId="3" borderId="1" xfId="1" applyNumberFormat="1" applyFont="1" applyFill="1" applyBorder="1"/>
    <xf numFmtId="43" fontId="26" fillId="3" borderId="1" xfId="4" applyFont="1" applyFill="1" applyBorder="1"/>
    <xf numFmtId="10" fontId="5" fillId="0" borderId="0" xfId="3" applyNumberFormat="1"/>
    <xf numFmtId="10" fontId="5" fillId="0" borderId="1" xfId="3" applyNumberFormat="1" applyBorder="1"/>
    <xf numFmtId="2" fontId="5" fillId="0" borderId="1" xfId="3" applyNumberFormat="1" applyBorder="1"/>
    <xf numFmtId="166" fontId="0" fillId="0" borderId="0" xfId="1" applyNumberFormat="1" applyFont="1"/>
    <xf numFmtId="164" fontId="0" fillId="0" borderId="0" xfId="1" applyNumberFormat="1" applyFont="1"/>
    <xf numFmtId="183" fontId="0" fillId="2" borderId="1" xfId="1" applyNumberFormat="1" applyFont="1" applyFill="1" applyBorder="1"/>
    <xf numFmtId="183" fontId="0" fillId="5" borderId="1" xfId="1" applyNumberFormat="1" applyFont="1" applyFill="1" applyBorder="1"/>
    <xf numFmtId="184" fontId="0" fillId="5" borderId="1" xfId="1" applyNumberFormat="1" applyFont="1" applyFill="1" applyBorder="1"/>
    <xf numFmtId="184" fontId="0" fillId="11" borderId="1" xfId="1" applyNumberFormat="1" applyFont="1" applyFill="1" applyBorder="1"/>
    <xf numFmtId="167" fontId="2" fillId="0" borderId="1" xfId="1" applyNumberFormat="1" applyFont="1" applyBorder="1"/>
    <xf numFmtId="166" fontId="2" fillId="0" borderId="1" xfId="1" applyNumberFormat="1" applyFont="1" applyBorder="1"/>
    <xf numFmtId="176" fontId="0" fillId="0" borderId="1" xfId="1" applyNumberFormat="1" applyFont="1" applyBorder="1"/>
    <xf numFmtId="181" fontId="0" fillId="0" borderId="1" xfId="1" applyNumberFormat="1" applyFont="1" applyBorder="1"/>
    <xf numFmtId="177" fontId="0" fillId="0" borderId="1" xfId="1" applyNumberFormat="1" applyFont="1" applyBorder="1"/>
    <xf numFmtId="182" fontId="0" fillId="0" borderId="1" xfId="1" applyNumberFormat="1" applyFont="1" applyBorder="1"/>
    <xf numFmtId="183" fontId="0" fillId="0" borderId="1" xfId="1" applyNumberFormat="1" applyFont="1" applyBorder="1"/>
    <xf numFmtId="43" fontId="0" fillId="0" borderId="1" xfId="1" applyFont="1" applyBorder="1"/>
    <xf numFmtId="0" fontId="2" fillId="12" borderId="1" xfId="0" applyFont="1" applyFill="1" applyBorder="1"/>
    <xf numFmtId="166" fontId="0" fillId="12" borderId="12" xfId="1" applyNumberFormat="1" applyFont="1" applyFill="1" applyBorder="1"/>
    <xf numFmtId="172" fontId="0" fillId="0" borderId="1" xfId="2" applyNumberFormat="1" applyFont="1" applyBorder="1"/>
    <xf numFmtId="166" fontId="0" fillId="0" borderId="1" xfId="0" applyNumberFormat="1" applyBorder="1"/>
    <xf numFmtId="0" fontId="0" fillId="11" borderId="1" xfId="0" applyFill="1" applyBorder="1"/>
    <xf numFmtId="166" fontId="0" fillId="2" borderId="1" xfId="0" applyNumberFormat="1" applyFill="1" applyBorder="1"/>
    <xf numFmtId="10" fontId="0" fillId="3" borderId="1" xfId="2" applyNumberFormat="1" applyFont="1" applyFill="1" applyBorder="1"/>
    <xf numFmtId="0" fontId="4" fillId="0" borderId="23" xfId="0" applyFont="1" applyBorder="1"/>
    <xf numFmtId="2" fontId="0" fillId="0" borderId="1" xfId="0" applyNumberFormat="1" applyBorder="1"/>
    <xf numFmtId="167" fontId="0" fillId="0" borderId="0" xfId="0" applyNumberFormat="1"/>
    <xf numFmtId="180" fontId="0" fillId="0" borderId="0" xfId="0" applyNumberFormat="1"/>
    <xf numFmtId="166" fontId="0" fillId="0" borderId="0" xfId="0" applyNumberFormat="1"/>
    <xf numFmtId="0" fontId="0" fillId="0" borderId="24" xfId="0" applyBorder="1"/>
    <xf numFmtId="0" fontId="0" fillId="0" borderId="26" xfId="0" applyBorder="1"/>
    <xf numFmtId="0" fontId="0" fillId="0" borderId="28" xfId="0" applyBorder="1"/>
    <xf numFmtId="0" fontId="0" fillId="0" borderId="25" xfId="0" applyBorder="1"/>
    <xf numFmtId="0" fontId="0" fillId="0" borderId="3" xfId="0" applyBorder="1"/>
    <xf numFmtId="0" fontId="0" fillId="0" borderId="30" xfId="0" applyBorder="1"/>
    <xf numFmtId="6" fontId="0" fillId="0" borderId="3" xfId="0" applyNumberFormat="1" applyBorder="1"/>
    <xf numFmtId="6" fontId="0" fillId="0" borderId="30" xfId="0" applyNumberFormat="1" applyBorder="1"/>
    <xf numFmtId="185" fontId="0" fillId="0" borderId="30" xfId="0" applyNumberFormat="1" applyBorder="1"/>
    <xf numFmtId="185" fontId="0" fillId="0" borderId="27" xfId="0" applyNumberFormat="1" applyBorder="1"/>
    <xf numFmtId="10" fontId="0" fillId="0" borderId="31" xfId="2" applyNumberFormat="1" applyFont="1" applyBorder="1"/>
    <xf numFmtId="10" fontId="0" fillId="0" borderId="29" xfId="2" applyNumberFormat="1" applyFont="1" applyBorder="1"/>
    <xf numFmtId="0" fontId="0" fillId="0" borderId="30" xfId="0" applyBorder="1" applyAlignment="1">
      <alignment horizontal="right"/>
    </xf>
    <xf numFmtId="0" fontId="0" fillId="0" borderId="27" xfId="0" applyBorder="1" applyAlignment="1">
      <alignment horizontal="right"/>
    </xf>
    <xf numFmtId="0" fontId="7" fillId="2" borderId="0" xfId="3" applyFont="1" applyFill="1" applyAlignment="1">
      <alignment horizontal="center" vertical="center"/>
    </xf>
    <xf numFmtId="0" fontId="8" fillId="2" borderId="0" xfId="3" applyFont="1" applyFill="1" applyAlignment="1">
      <alignment vertical="center" wrapText="1"/>
    </xf>
    <xf numFmtId="0" fontId="9" fillId="2" borderId="0" xfId="3" applyFont="1" applyFill="1" applyAlignment="1">
      <alignment vertical="center" wrapText="1"/>
    </xf>
    <xf numFmtId="0" fontId="10" fillId="2" borderId="0" xfId="3" applyFont="1" applyFill="1" applyAlignment="1">
      <alignment vertical="center" wrapText="1"/>
    </xf>
    <xf numFmtId="0" fontId="15" fillId="2" borderId="0" xfId="3" applyFont="1" applyFill="1" applyAlignment="1">
      <alignment vertical="center" wrapText="1"/>
    </xf>
    <xf numFmtId="0" fontId="17" fillId="2" borderId="0" xfId="3" applyFont="1" applyFill="1" applyAlignment="1">
      <alignment vertical="center" wrapText="1"/>
    </xf>
    <xf numFmtId="0" fontId="17" fillId="2" borderId="19" xfId="3" applyFont="1" applyFill="1" applyBorder="1" applyAlignment="1">
      <alignment vertical="center" wrapText="1"/>
    </xf>
    <xf numFmtId="0" fontId="22" fillId="0" borderId="1" xfId="3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166" fontId="2" fillId="0" borderId="1" xfId="1" applyNumberFormat="1" applyFont="1" applyBorder="1" applyAlignment="1">
      <alignment horizontal="center" wrapText="1"/>
    </xf>
    <xf numFmtId="0" fontId="0" fillId="0" borderId="9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3" fillId="0" borderId="0" xfId="0" applyFont="1" applyBorder="1"/>
    <xf numFmtId="0" fontId="0" fillId="0" borderId="0" xfId="0" applyBorder="1"/>
    <xf numFmtId="164" fontId="3" fillId="0" borderId="0" xfId="1" applyNumberFormat="1" applyFont="1" applyBorder="1"/>
    <xf numFmtId="164" fontId="28" fillId="0" borderId="0" xfId="1" applyNumberFormat="1" applyFont="1" applyBorder="1"/>
    <xf numFmtId="0" fontId="27" fillId="0" borderId="0" xfId="0" applyFont="1" applyBorder="1"/>
  </cellXfs>
  <cellStyles count="6">
    <cellStyle name="Migliaia" xfId="1" builtinId="3"/>
    <cellStyle name="Migliaia 2" xfId="4" xr:uid="{00000000-0005-0000-0000-000001000000}"/>
    <cellStyle name="Normale" xfId="0" builtinId="0"/>
    <cellStyle name="Normale 2" xfId="3" xr:uid="{00000000-0005-0000-0000-000003000000}"/>
    <cellStyle name="Percentuale" xfId="2" builtinId="5"/>
    <cellStyle name="Percentuale 2" xfId="5" xr:uid="{00000000-0005-0000-0000-000005000000}"/>
  </cellStyles>
  <dxfs count="0"/>
  <tableStyles count="0" defaultTableStyle="TableStyleMedium2" defaultPivotStyle="PivotStyleMedium9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w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2</xdr:row>
      <xdr:rowOff>121920</xdr:rowOff>
    </xdr:from>
    <xdr:to>
      <xdr:col>1</xdr:col>
      <xdr:colOff>411480</xdr:colOff>
      <xdr:row>2</xdr:row>
      <xdr:rowOff>228600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441960" y="632460"/>
          <a:ext cx="373380" cy="106680"/>
        </a:xfrm>
        <a:prstGeom prst="rightArrow">
          <a:avLst>
            <a:gd name="adj1" fmla="val 50000"/>
            <a:gd name="adj2" fmla="val 87678"/>
          </a:avLst>
        </a:prstGeom>
        <a:solidFill>
          <a:srgbClr val="CC0099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205740</xdr:colOff>
      <xdr:row>28</xdr:row>
      <xdr:rowOff>38100</xdr:rowOff>
    </xdr:from>
    <xdr:to>
      <xdr:col>6</xdr:col>
      <xdr:colOff>281940</xdr:colOff>
      <xdr:row>29</xdr:row>
      <xdr:rowOff>137160</xdr:rowOff>
    </xdr:to>
    <xdr:sp macro="" textlink="">
      <xdr:nvSpPr>
        <xdr:cNvPr id="3" name="AutoShape 79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5394960" y="6256020"/>
          <a:ext cx="1036320" cy="274320"/>
        </a:xfrm>
        <a:prstGeom prst="rightArrow">
          <a:avLst>
            <a:gd name="adj1" fmla="val 50000"/>
            <a:gd name="adj2" fmla="val 172851"/>
          </a:avLst>
        </a:prstGeom>
        <a:solidFill>
          <a:srgbClr val="CC0099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777240</xdr:colOff>
      <xdr:row>26</xdr:row>
      <xdr:rowOff>160020</xdr:rowOff>
    </xdr:from>
    <xdr:to>
      <xdr:col>7</xdr:col>
      <xdr:colOff>0</xdr:colOff>
      <xdr:row>31</xdr:row>
      <xdr:rowOff>15240</xdr:rowOff>
    </xdr:to>
    <xdr:sp macro="" textlink="">
      <xdr:nvSpPr>
        <xdr:cNvPr id="4" name="AutoShape 8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/>
        </xdr:cNvSpPr>
      </xdr:nvSpPr>
      <xdr:spPr bwMode="auto">
        <a:xfrm>
          <a:off x="6926580" y="5913120"/>
          <a:ext cx="182880" cy="906780"/>
        </a:xfrm>
        <a:prstGeom prst="leftBrace">
          <a:avLst>
            <a:gd name="adj1" fmla="val 112159"/>
            <a:gd name="adj2" fmla="val 50000"/>
          </a:avLst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777240</xdr:colOff>
      <xdr:row>65</xdr:row>
      <xdr:rowOff>15240</xdr:rowOff>
    </xdr:from>
    <xdr:to>
      <xdr:col>7</xdr:col>
      <xdr:colOff>0</xdr:colOff>
      <xdr:row>69</xdr:row>
      <xdr:rowOff>30480</xdr:rowOff>
    </xdr:to>
    <xdr:sp macro="" textlink="">
      <xdr:nvSpPr>
        <xdr:cNvPr id="5" name="AutoShape 8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/>
        </xdr:cNvSpPr>
      </xdr:nvSpPr>
      <xdr:spPr bwMode="auto">
        <a:xfrm>
          <a:off x="6926580" y="13335000"/>
          <a:ext cx="182880" cy="922020"/>
        </a:xfrm>
        <a:prstGeom prst="leftBrace">
          <a:avLst>
            <a:gd name="adj1" fmla="val 115211"/>
            <a:gd name="adj2" fmla="val 50000"/>
          </a:avLst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228600</xdr:colOff>
      <xdr:row>66</xdr:row>
      <xdr:rowOff>38100</xdr:rowOff>
    </xdr:from>
    <xdr:to>
      <xdr:col>6</xdr:col>
      <xdr:colOff>510540</xdr:colOff>
      <xdr:row>67</xdr:row>
      <xdr:rowOff>137160</xdr:rowOff>
    </xdr:to>
    <xdr:sp macro="" textlink="">
      <xdr:nvSpPr>
        <xdr:cNvPr id="6" name="AutoShape 79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5417820" y="13677900"/>
          <a:ext cx="1242060" cy="274320"/>
        </a:xfrm>
        <a:prstGeom prst="rightArrow">
          <a:avLst>
            <a:gd name="adj1" fmla="val 50000"/>
            <a:gd name="adj2" fmla="val 172915"/>
          </a:avLst>
        </a:prstGeom>
        <a:solidFill>
          <a:srgbClr val="CC0099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7</xdr:col>
      <xdr:colOff>198120</xdr:colOff>
      <xdr:row>7</xdr:row>
      <xdr:rowOff>335280</xdr:rowOff>
    </xdr:from>
    <xdr:to>
      <xdr:col>7</xdr:col>
      <xdr:colOff>1082040</xdr:colOff>
      <xdr:row>7</xdr:row>
      <xdr:rowOff>816428</xdr:rowOff>
    </xdr:to>
    <xdr:pic>
      <xdr:nvPicPr>
        <xdr:cNvPr id="7" name="Picture 8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429183" y="1954530"/>
          <a:ext cx="883920" cy="48114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16</xdr:row>
          <xdr:rowOff>60960</xdr:rowOff>
        </xdr:from>
        <xdr:to>
          <xdr:col>6</xdr:col>
          <xdr:colOff>289560</xdr:colOff>
          <xdr:row>17</xdr:row>
          <xdr:rowOff>144780</xdr:rowOff>
        </xdr:to>
        <xdr:sp macro="" textlink="">
          <xdr:nvSpPr>
            <xdr:cNvPr id="4097" name="Object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594360</xdr:colOff>
          <xdr:row>51</xdr:row>
          <xdr:rowOff>68580</xdr:rowOff>
        </xdr:from>
        <xdr:to>
          <xdr:col>3</xdr:col>
          <xdr:colOff>0</xdr:colOff>
          <xdr:row>54</xdr:row>
          <xdr:rowOff>0</xdr:rowOff>
        </xdr:to>
        <xdr:sp macro="" textlink="">
          <xdr:nvSpPr>
            <xdr:cNvPr id="4098" name="Object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594360</xdr:colOff>
          <xdr:row>54</xdr:row>
          <xdr:rowOff>114300</xdr:rowOff>
        </xdr:from>
        <xdr:to>
          <xdr:col>3</xdr:col>
          <xdr:colOff>0</xdr:colOff>
          <xdr:row>57</xdr:row>
          <xdr:rowOff>0</xdr:rowOff>
        </xdr:to>
        <xdr:sp macro="" textlink="">
          <xdr:nvSpPr>
            <xdr:cNvPr id="4099" name="Object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403860</xdr:colOff>
          <xdr:row>17</xdr:row>
          <xdr:rowOff>152400</xdr:rowOff>
        </xdr:from>
        <xdr:to>
          <xdr:col>8</xdr:col>
          <xdr:colOff>1112520</xdr:colOff>
          <xdr:row>22</xdr:row>
          <xdr:rowOff>114300</xdr:rowOff>
        </xdr:to>
        <xdr:sp macro="" textlink="">
          <xdr:nvSpPr>
            <xdr:cNvPr id="4100" name="Object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396240</xdr:colOff>
          <xdr:row>57</xdr:row>
          <xdr:rowOff>144780</xdr:rowOff>
        </xdr:from>
        <xdr:to>
          <xdr:col>8</xdr:col>
          <xdr:colOff>0</xdr:colOff>
          <xdr:row>60</xdr:row>
          <xdr:rowOff>76200</xdr:rowOff>
        </xdr:to>
        <xdr:sp macro="" textlink="">
          <xdr:nvSpPr>
            <xdr:cNvPr id="4101" name="Object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158750</xdr:colOff>
      <xdr:row>49</xdr:row>
      <xdr:rowOff>25399</xdr:rowOff>
    </xdr:from>
    <xdr:to>
      <xdr:col>8</xdr:col>
      <xdr:colOff>933450</xdr:colOff>
      <xdr:row>57</xdr:row>
      <xdr:rowOff>49142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91400" y="10407649"/>
          <a:ext cx="2133600" cy="14842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145073</xdr:colOff>
      <xdr:row>13</xdr:row>
      <xdr:rowOff>129687</xdr:rowOff>
    </xdr:from>
    <xdr:to>
      <xdr:col>5</xdr:col>
      <xdr:colOff>424002</xdr:colOff>
      <xdr:row>19</xdr:row>
      <xdr:rowOff>51156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149361" y="2606187"/>
          <a:ext cx="1810257" cy="1064469"/>
        </a:xfrm>
        <a:prstGeom prst="rect">
          <a:avLst/>
        </a:prstGeom>
      </xdr:spPr>
    </xdr:pic>
    <xdr:clientData/>
  </xdr:twoCellAnchor>
  <xdr:twoCellAnchor editAs="oneCell">
    <xdr:from>
      <xdr:col>6</xdr:col>
      <xdr:colOff>495300</xdr:colOff>
      <xdr:row>14</xdr:row>
      <xdr:rowOff>47625</xdr:rowOff>
    </xdr:from>
    <xdr:to>
      <xdr:col>9</xdr:col>
      <xdr:colOff>184822</xdr:colOff>
      <xdr:row>17</xdr:row>
      <xdr:rowOff>1107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648575" y="2143125"/>
          <a:ext cx="4390476" cy="523810"/>
        </a:xfrm>
        <a:prstGeom prst="rect">
          <a:avLst/>
        </a:prstGeom>
      </xdr:spPr>
    </xdr:pic>
    <xdr:clientData/>
  </xdr:twoCellAnchor>
  <xdr:twoCellAnchor>
    <xdr:from>
      <xdr:col>2</xdr:col>
      <xdr:colOff>200025</xdr:colOff>
      <xdr:row>2</xdr:row>
      <xdr:rowOff>95250</xdr:rowOff>
    </xdr:from>
    <xdr:to>
      <xdr:col>2</xdr:col>
      <xdr:colOff>685800</xdr:colOff>
      <xdr:row>2</xdr:row>
      <xdr:rowOff>95250</xdr:rowOff>
    </xdr:to>
    <xdr:cxnSp macro="">
      <xdr:nvCxnSpPr>
        <xdr:cNvPr id="5" name="Connettore 2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/>
      </xdr:nvCxnSpPr>
      <xdr:spPr>
        <a:xfrm>
          <a:off x="3048000" y="476250"/>
          <a:ext cx="485775" cy="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200025</xdr:colOff>
      <xdr:row>1</xdr:row>
      <xdr:rowOff>104775</xdr:rowOff>
    </xdr:from>
    <xdr:to>
      <xdr:col>2</xdr:col>
      <xdr:colOff>685800</xdr:colOff>
      <xdr:row>1</xdr:row>
      <xdr:rowOff>104775</xdr:rowOff>
    </xdr:to>
    <xdr:cxnSp macro="">
      <xdr:nvCxnSpPr>
        <xdr:cNvPr id="9" name="Connettore 2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3048000" y="295275"/>
          <a:ext cx="485775" cy="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219076</xdr:colOff>
      <xdr:row>6</xdr:row>
      <xdr:rowOff>95250</xdr:rowOff>
    </xdr:from>
    <xdr:to>
      <xdr:col>2</xdr:col>
      <xdr:colOff>676275</xdr:colOff>
      <xdr:row>6</xdr:row>
      <xdr:rowOff>95250</xdr:rowOff>
    </xdr:to>
    <xdr:cxnSp macro="">
      <xdr:nvCxnSpPr>
        <xdr:cNvPr id="10" name="Connettore 2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 flipH="1">
          <a:off x="3067051" y="857250"/>
          <a:ext cx="457199" cy="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219076</xdr:colOff>
      <xdr:row>7</xdr:row>
      <xdr:rowOff>95250</xdr:rowOff>
    </xdr:from>
    <xdr:to>
      <xdr:col>2</xdr:col>
      <xdr:colOff>676275</xdr:colOff>
      <xdr:row>7</xdr:row>
      <xdr:rowOff>95250</xdr:rowOff>
    </xdr:to>
    <xdr:cxnSp macro="">
      <xdr:nvCxnSpPr>
        <xdr:cNvPr id="13" name="Connettore 2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CxnSpPr/>
      </xdr:nvCxnSpPr>
      <xdr:spPr>
        <a:xfrm flipH="1">
          <a:off x="3067051" y="1047750"/>
          <a:ext cx="457199" cy="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3</xdr:row>
      <xdr:rowOff>85725</xdr:rowOff>
    </xdr:from>
    <xdr:to>
      <xdr:col>3</xdr:col>
      <xdr:colOff>247650</xdr:colOff>
      <xdr:row>5</xdr:row>
      <xdr:rowOff>123825</xdr:rowOff>
    </xdr:to>
    <xdr:cxnSp macro="">
      <xdr:nvCxnSpPr>
        <xdr:cNvPr id="14" name="Connettore 2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CxnSpPr/>
      </xdr:nvCxnSpPr>
      <xdr:spPr>
        <a:xfrm>
          <a:off x="4171950" y="657225"/>
          <a:ext cx="0" cy="4191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899160</xdr:colOff>
          <xdr:row>19</xdr:row>
          <xdr:rowOff>129540</xdr:rowOff>
        </xdr:from>
        <xdr:to>
          <xdr:col>8</xdr:col>
          <xdr:colOff>121920</xdr:colOff>
          <xdr:row>22</xdr:row>
          <xdr:rowOff>114300</xdr:rowOff>
        </xdr:to>
        <xdr:sp macro="" textlink="">
          <xdr:nvSpPr>
            <xdr:cNvPr id="2050" name="Object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1249680</xdr:colOff>
          <xdr:row>19</xdr:row>
          <xdr:rowOff>99060</xdr:rowOff>
        </xdr:from>
        <xdr:to>
          <xdr:col>7</xdr:col>
          <xdr:colOff>335280</xdr:colOff>
          <xdr:row>22</xdr:row>
          <xdr:rowOff>106680</xdr:rowOff>
        </xdr:to>
        <xdr:sp macro="" textlink="">
          <xdr:nvSpPr>
            <xdr:cNvPr id="2051" name="Object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57150</xdr:colOff>
      <xdr:row>2</xdr:row>
      <xdr:rowOff>76200</xdr:rowOff>
    </xdr:from>
    <xdr:to>
      <xdr:col>11</xdr:col>
      <xdr:colOff>390525</xdr:colOff>
      <xdr:row>5</xdr:row>
      <xdr:rowOff>28575</xdr:rowOff>
    </xdr:to>
    <xdr:sp macro="[0]!Macro1" textlink="">
      <xdr:nvSpPr>
        <xdr:cNvPr id="2" name="Ova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895975" y="457200"/>
          <a:ext cx="1552575" cy="5238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t-IT" sz="1100"/>
            <a:t>Simulazione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175260</xdr:colOff>
          <xdr:row>6</xdr:row>
          <xdr:rowOff>144780</xdr:rowOff>
        </xdr:from>
        <xdr:to>
          <xdr:col>13</xdr:col>
          <xdr:colOff>175260</xdr:colOff>
          <xdr:row>8</xdr:row>
          <xdr:rowOff>15240</xdr:rowOff>
        </xdr:to>
        <xdr:sp macro="" textlink="">
          <xdr:nvSpPr>
            <xdr:cNvPr id="3074" name="Object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182880</xdr:colOff>
          <xdr:row>1</xdr:row>
          <xdr:rowOff>144780</xdr:rowOff>
        </xdr:from>
        <xdr:to>
          <xdr:col>9</xdr:col>
          <xdr:colOff>106680</xdr:colOff>
          <xdr:row>3</xdr:row>
          <xdr:rowOff>15240</xdr:rowOff>
        </xdr:to>
        <xdr:sp macro="" textlink="">
          <xdr:nvSpPr>
            <xdr:cNvPr id="11269" name="Object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5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oleObject" Target="../embeddings/oleObject5.bin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oleObject" Target="../embeddings/oleObject4.bin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7.bin"/><Relationship Id="rId5" Type="http://schemas.openxmlformats.org/officeDocument/2006/relationships/image" Target="../media/image3.emf"/><Relationship Id="rId4" Type="http://schemas.openxmlformats.org/officeDocument/2006/relationships/oleObject" Target="../embeddings/oleObject6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9.emf"/><Relationship Id="rId4" Type="http://schemas.openxmlformats.org/officeDocument/2006/relationships/oleObject" Target="../embeddings/oleObject8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9.bin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4.xml"/><Relationship Id="rId5" Type="http://schemas.openxmlformats.org/officeDocument/2006/relationships/comments" Target="../comments3.xml"/><Relationship Id="rId4" Type="http://schemas.openxmlformats.org/officeDocument/2006/relationships/image" Target="../media/image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4"/>
  <dimension ref="B1:S72"/>
  <sheetViews>
    <sheetView topLeftCell="B45" zoomScale="150" zoomScaleNormal="150" workbookViewId="0">
      <selection activeCell="B47" sqref="B47"/>
    </sheetView>
  </sheetViews>
  <sheetFormatPr defaultColWidth="9.21875" defaultRowHeight="13.8" x14ac:dyDescent="0.3"/>
  <cols>
    <col min="1" max="1" width="5.77734375" style="36" customWidth="1"/>
    <col min="2" max="2" width="9.21875" style="36"/>
    <col min="3" max="3" width="19.44140625" style="36" customWidth="1"/>
    <col min="4" max="4" width="18.77734375" style="36" bestFit="1" customWidth="1"/>
    <col min="5" max="5" width="22.21875" style="36" bestFit="1" customWidth="1"/>
    <col min="6" max="7" width="14" style="36" customWidth="1"/>
    <col min="8" max="8" width="19.44140625" style="36" customWidth="1"/>
    <col min="9" max="9" width="16.77734375" style="36" bestFit="1" customWidth="1"/>
    <col min="10" max="10" width="9.44140625" style="36" bestFit="1" customWidth="1"/>
    <col min="11" max="11" width="12.5546875" style="36" bestFit="1" customWidth="1"/>
    <col min="12" max="13" width="10.21875" style="36" customWidth="1"/>
    <col min="14" max="16384" width="9.21875" style="36"/>
  </cols>
  <sheetData>
    <row r="1" spans="2:12" ht="23.25" customHeight="1" x14ac:dyDescent="0.3">
      <c r="B1" s="34"/>
      <c r="C1" s="35"/>
      <c r="D1" s="35"/>
      <c r="E1" s="35"/>
      <c r="F1" s="35"/>
      <c r="G1" s="35"/>
      <c r="H1" s="35"/>
      <c r="I1" s="35"/>
      <c r="J1" s="35"/>
      <c r="K1" s="35"/>
      <c r="L1" s="35"/>
    </row>
    <row r="2" spans="2:12" ht="17.399999999999999" x14ac:dyDescent="0.3">
      <c r="B2" s="203" t="s">
        <v>31</v>
      </c>
      <c r="C2" s="204"/>
      <c r="D2" s="204"/>
      <c r="E2" s="204"/>
      <c r="F2" s="204"/>
      <c r="G2" s="204"/>
      <c r="H2" s="204"/>
      <c r="I2" s="204"/>
      <c r="J2" s="204"/>
      <c r="K2" s="204"/>
      <c r="L2" s="204"/>
    </row>
    <row r="3" spans="2:12" ht="22.5" customHeight="1" x14ac:dyDescent="0.3">
      <c r="B3" s="205" t="s">
        <v>81</v>
      </c>
      <c r="C3" s="204"/>
      <c r="D3" s="204"/>
      <c r="E3" s="204"/>
      <c r="F3" s="204"/>
      <c r="G3" s="204"/>
      <c r="H3" s="204"/>
      <c r="I3" s="204"/>
      <c r="J3" s="204"/>
      <c r="K3" s="204"/>
      <c r="L3" s="204"/>
    </row>
    <row r="4" spans="2:12" ht="22.5" customHeight="1" x14ac:dyDescent="0.3">
      <c r="B4" s="204"/>
      <c r="C4" s="204"/>
      <c r="D4" s="204"/>
      <c r="E4" s="204"/>
      <c r="F4" s="204"/>
      <c r="G4" s="204"/>
      <c r="H4" s="204"/>
      <c r="I4" s="204"/>
      <c r="J4" s="204"/>
      <c r="K4" s="204"/>
      <c r="L4" s="204"/>
    </row>
    <row r="5" spans="2:12" ht="14.4" thickBot="1" x14ac:dyDescent="0.35">
      <c r="B5" s="35"/>
      <c r="C5" s="35"/>
      <c r="D5" s="35"/>
      <c r="E5" s="35"/>
      <c r="F5" s="35"/>
      <c r="G5" s="35"/>
      <c r="H5" s="35"/>
      <c r="I5" s="35"/>
      <c r="J5" s="35"/>
      <c r="K5" s="35"/>
      <c r="L5" s="35"/>
    </row>
    <row r="6" spans="2:12" x14ac:dyDescent="0.3">
      <c r="B6" s="37" t="s">
        <v>32</v>
      </c>
      <c r="C6" s="38"/>
      <c r="D6" s="39"/>
      <c r="E6" s="39"/>
      <c r="F6" s="39"/>
      <c r="G6" s="39"/>
      <c r="H6" s="39"/>
      <c r="I6" s="39"/>
      <c r="J6" s="39"/>
      <c r="K6" s="39"/>
      <c r="L6" s="40"/>
    </row>
    <row r="7" spans="2:12" x14ac:dyDescent="0.3">
      <c r="B7" s="41"/>
      <c r="C7" s="35"/>
      <c r="D7" s="35"/>
      <c r="E7" s="35"/>
      <c r="F7" s="35"/>
      <c r="G7" s="35"/>
      <c r="H7" s="35"/>
      <c r="I7" s="35"/>
      <c r="J7" s="35"/>
      <c r="K7" s="35"/>
      <c r="L7" s="42"/>
    </row>
    <row r="8" spans="2:12" ht="64.5" customHeight="1" x14ac:dyDescent="0.3">
      <c r="B8" s="41"/>
      <c r="C8" s="43" t="s">
        <v>33</v>
      </c>
      <c r="D8" s="44" t="s">
        <v>82</v>
      </c>
      <c r="E8" s="43" t="s">
        <v>35</v>
      </c>
      <c r="F8" s="43" t="s">
        <v>36</v>
      </c>
      <c r="G8" s="43" t="s">
        <v>37</v>
      </c>
      <c r="H8" s="44" t="s">
        <v>38</v>
      </c>
      <c r="I8" s="43" t="s">
        <v>39</v>
      </c>
      <c r="J8" s="35"/>
      <c r="K8" s="35"/>
      <c r="L8" s="42"/>
    </row>
    <row r="9" spans="2:12" x14ac:dyDescent="0.3">
      <c r="B9" s="41"/>
      <c r="C9" s="45">
        <v>0</v>
      </c>
      <c r="D9" s="145">
        <v>97000</v>
      </c>
      <c r="E9" s="46">
        <f>D9/$D$15</f>
        <v>0.90431085918854415</v>
      </c>
      <c r="F9" s="47">
        <f>E9*C9</f>
        <v>0</v>
      </c>
      <c r="G9" s="48">
        <f>(C9-$D$17)^2*E9</f>
        <v>9.6143521090399919E-3</v>
      </c>
      <c r="H9" s="139">
        <f>EXP(-$D$17)*$D$17^C9/FACT(C9)</f>
        <v>0.90202766962372505</v>
      </c>
      <c r="I9" s="144">
        <f>H9*$D$15</f>
        <v>96755.095954519245</v>
      </c>
      <c r="J9" s="58"/>
      <c r="K9" s="142">
        <f>_xlfn.POISSON.DIST(C9,$D$17,0)</f>
        <v>0.90202766962372505</v>
      </c>
      <c r="L9" s="42"/>
    </row>
    <row r="10" spans="2:12" x14ac:dyDescent="0.3">
      <c r="B10" s="41"/>
      <c r="C10" s="45">
        <v>1</v>
      </c>
      <c r="D10" s="145">
        <v>9520</v>
      </c>
      <c r="E10" s="46">
        <f t="shared" ref="E10:E14" si="0">D10/$D$15</f>
        <v>8.875298329355609E-2</v>
      </c>
      <c r="F10" s="47">
        <f t="shared" ref="F10:F13" si="1">E10*C10</f>
        <v>8.875298329355609E-2</v>
      </c>
      <c r="G10" s="48">
        <f t="shared" ref="G10:G13" si="2">(C10-$D$17)^2*E10</f>
        <v>7.1393922396426224E-2</v>
      </c>
      <c r="H10" s="139">
        <f t="shared" ref="H10:H12" si="3">EXP(-$D$17)*$D$17^C10/FACT(C10)</f>
        <v>9.3008148363275644E-2</v>
      </c>
      <c r="I10" s="144">
        <f t="shared" ref="I10:I14" si="4">H10*$D$15</f>
        <v>9976.426026038398</v>
      </c>
      <c r="J10" s="58"/>
      <c r="K10" s="35"/>
      <c r="L10" s="42"/>
    </row>
    <row r="11" spans="2:12" x14ac:dyDescent="0.3">
      <c r="B11" s="41"/>
      <c r="C11" s="45">
        <v>2</v>
      </c>
      <c r="D11" s="152">
        <v>698</v>
      </c>
      <c r="E11" s="46">
        <f t="shared" si="0"/>
        <v>6.5073090692124103E-3</v>
      </c>
      <c r="F11" s="47">
        <f t="shared" si="1"/>
        <v>1.3014618138424821E-2</v>
      </c>
      <c r="G11" s="48">
        <f t="shared" si="2"/>
        <v>2.3414543238436059E-2</v>
      </c>
      <c r="H11" s="139">
        <f t="shared" si="3"/>
        <v>4.7950389734572113E-3</v>
      </c>
      <c r="I11" s="151">
        <f t="shared" si="4"/>
        <v>514.33506044891431</v>
      </c>
      <c r="J11" s="58"/>
      <c r="K11" s="35"/>
      <c r="L11" s="42"/>
    </row>
    <row r="12" spans="2:12" x14ac:dyDescent="0.3">
      <c r="B12" s="41"/>
      <c r="C12" s="45">
        <v>3</v>
      </c>
      <c r="D12" s="152">
        <v>40</v>
      </c>
      <c r="E12" s="46">
        <f t="shared" si="0"/>
        <v>3.7291169451073985E-4</v>
      </c>
      <c r="F12" s="47">
        <f t="shared" si="1"/>
        <v>1.1187350835322196E-3</v>
      </c>
      <c r="G12" s="48">
        <f t="shared" si="2"/>
        <v>3.1294641960518742E-3</v>
      </c>
      <c r="H12" s="139">
        <f t="shared" si="3"/>
        <v>1.6480562303114045E-4</v>
      </c>
      <c r="I12" s="151">
        <f t="shared" si="4"/>
        <v>17.677710348812248</v>
      </c>
      <c r="J12" s="58"/>
      <c r="K12" s="35"/>
      <c r="L12" s="42"/>
    </row>
    <row r="13" spans="2:12" x14ac:dyDescent="0.3">
      <c r="B13" s="41"/>
      <c r="C13" s="45">
        <v>4</v>
      </c>
      <c r="D13" s="152">
        <v>6</v>
      </c>
      <c r="E13" s="46">
        <f t="shared" si="0"/>
        <v>5.5936754176610981E-5</v>
      </c>
      <c r="F13" s="47">
        <f t="shared" si="1"/>
        <v>2.2374701670644392E-4</v>
      </c>
      <c r="G13" s="48">
        <f t="shared" si="2"/>
        <v>8.4944162185271487E-4</v>
      </c>
      <c r="H13" s="139">
        <f>EXP(-$D$17)*$D$17^C13/FACT(C13)</f>
        <v>4.2482803893300959E-6</v>
      </c>
      <c r="I13" s="151">
        <f t="shared" si="4"/>
        <v>0.45568754768110342</v>
      </c>
      <c r="J13" s="58"/>
      <c r="K13" s="35"/>
      <c r="L13" s="42"/>
    </row>
    <row r="14" spans="2:12" x14ac:dyDescent="0.3">
      <c r="B14" s="41"/>
      <c r="C14" s="45" t="s">
        <v>40</v>
      </c>
      <c r="D14" s="144">
        <v>0</v>
      </c>
      <c r="E14" s="46">
        <f t="shared" si="0"/>
        <v>0</v>
      </c>
      <c r="F14" s="47"/>
      <c r="G14" s="48"/>
      <c r="H14" s="143">
        <f>1-SUM(H9:H13)</f>
        <v>8.9136121594890483E-8</v>
      </c>
      <c r="I14" s="144">
        <f t="shared" si="4"/>
        <v>9.5610969467543327E-3</v>
      </c>
      <c r="J14" s="35"/>
      <c r="K14" s="35"/>
      <c r="L14" s="42"/>
    </row>
    <row r="15" spans="2:12" x14ac:dyDescent="0.3">
      <c r="B15" s="41"/>
      <c r="C15" s="45" t="s">
        <v>41</v>
      </c>
      <c r="D15" s="50">
        <f>+SUM(D9:D14)</f>
        <v>107264</v>
      </c>
      <c r="E15" s="51"/>
      <c r="F15" s="52"/>
      <c r="G15" s="52"/>
      <c r="H15" s="50"/>
      <c r="I15" s="50">
        <f>SUM(I9:I14)</f>
        <v>107264</v>
      </c>
      <c r="J15" s="35"/>
      <c r="K15" s="35"/>
      <c r="L15" s="42"/>
    </row>
    <row r="16" spans="2:12" x14ac:dyDescent="0.3">
      <c r="B16" s="41"/>
      <c r="C16" s="53"/>
      <c r="D16" s="54"/>
      <c r="E16" s="54"/>
      <c r="F16" s="54"/>
      <c r="G16" s="54"/>
      <c r="H16" s="54"/>
      <c r="I16" s="35"/>
      <c r="J16" s="35"/>
      <c r="K16" s="35"/>
      <c r="L16" s="42"/>
    </row>
    <row r="17" spans="2:19" ht="15" x14ac:dyDescent="0.3">
      <c r="B17" s="41"/>
      <c r="C17" s="55" t="s">
        <v>36</v>
      </c>
      <c r="D17" s="141">
        <f>SUM(F9:F14)</f>
        <v>0.10311008353221957</v>
      </c>
      <c r="E17" s="35"/>
      <c r="F17" s="35"/>
      <c r="G17" s="35"/>
      <c r="H17" s="35"/>
      <c r="I17" s="35"/>
      <c r="J17" s="35"/>
      <c r="K17" s="35"/>
      <c r="L17" s="42"/>
    </row>
    <row r="18" spans="2:19" ht="15" x14ac:dyDescent="0.3">
      <c r="B18" s="41"/>
      <c r="C18" s="55" t="s">
        <v>37</v>
      </c>
      <c r="D18" s="140">
        <f>SUM(G9:G13)</f>
        <v>0.10840172356180686</v>
      </c>
      <c r="E18" s="35"/>
      <c r="F18" s="35"/>
      <c r="G18" s="35"/>
      <c r="H18" s="35"/>
      <c r="I18" s="35"/>
      <c r="J18" s="35"/>
      <c r="K18" s="35"/>
      <c r="L18" s="42"/>
    </row>
    <row r="19" spans="2:19" x14ac:dyDescent="0.3">
      <c r="B19" s="41"/>
      <c r="C19" s="35"/>
      <c r="D19" s="35"/>
      <c r="E19" s="35"/>
      <c r="F19" s="35"/>
      <c r="G19" s="35"/>
      <c r="H19" s="35"/>
      <c r="I19" s="35"/>
      <c r="J19" s="35"/>
      <c r="K19" s="35"/>
      <c r="L19" s="42"/>
    </row>
    <row r="20" spans="2:19" x14ac:dyDescent="0.3">
      <c r="B20" s="41"/>
      <c r="C20" s="35"/>
      <c r="D20" s="35"/>
      <c r="E20" s="35"/>
      <c r="F20" s="35"/>
      <c r="G20" s="35"/>
      <c r="H20" s="35"/>
      <c r="I20" s="35"/>
      <c r="J20" s="35"/>
      <c r="K20" s="35"/>
      <c r="L20" s="42"/>
    </row>
    <row r="21" spans="2:19" ht="25.5" customHeight="1" x14ac:dyDescent="0.3">
      <c r="B21" s="41"/>
      <c r="C21" s="43" t="s">
        <v>33</v>
      </c>
      <c r="D21" s="43" t="s">
        <v>34</v>
      </c>
      <c r="E21" s="43" t="s">
        <v>39</v>
      </c>
      <c r="F21" s="43" t="s">
        <v>42</v>
      </c>
      <c r="G21" s="35"/>
      <c r="H21" s="35"/>
      <c r="I21" s="35"/>
      <c r="J21" s="35"/>
      <c r="K21" s="35"/>
      <c r="L21" s="42"/>
    </row>
    <row r="22" spans="2:19" x14ac:dyDescent="0.3">
      <c r="B22" s="41"/>
      <c r="C22" s="45">
        <f t="shared" ref="C22:C24" si="5">+C9</f>
        <v>0</v>
      </c>
      <c r="D22" s="56">
        <f>D9</f>
        <v>97000</v>
      </c>
      <c r="E22" s="49">
        <f>I9</f>
        <v>96755.095954519245</v>
      </c>
      <c r="F22" s="57">
        <f>(D22-E22)^2/E22</f>
        <v>0.61989490993872609</v>
      </c>
      <c r="G22" s="35"/>
      <c r="H22" s="35"/>
      <c r="I22" s="35"/>
      <c r="J22" s="35"/>
      <c r="K22" s="35"/>
      <c r="L22" s="42"/>
    </row>
    <row r="23" spans="2:19" x14ac:dyDescent="0.3">
      <c r="B23" s="41"/>
      <c r="C23" s="45">
        <f t="shared" si="5"/>
        <v>1</v>
      </c>
      <c r="D23" s="56">
        <f>D10</f>
        <v>9520</v>
      </c>
      <c r="E23" s="49">
        <f>I10</f>
        <v>9976.426026038398</v>
      </c>
      <c r="F23" s="57">
        <f t="shared" ref="F23:F25" si="6">(D23-E23)^2/E23</f>
        <v>20.881698185450222</v>
      </c>
      <c r="G23" s="35"/>
      <c r="H23" s="35"/>
      <c r="I23" s="35"/>
      <c r="J23" s="35"/>
      <c r="K23" s="35"/>
      <c r="L23" s="42"/>
    </row>
    <row r="24" spans="2:19" x14ac:dyDescent="0.3">
      <c r="B24" s="41"/>
      <c r="C24" s="45">
        <f t="shared" si="5"/>
        <v>2</v>
      </c>
      <c r="D24" s="56">
        <f>D11</f>
        <v>698</v>
      </c>
      <c r="E24" s="49">
        <f>I11</f>
        <v>514.33506044891431</v>
      </c>
      <c r="F24" s="57">
        <f t="shared" si="6"/>
        <v>65.585282074416227</v>
      </c>
      <c r="G24" s="35"/>
      <c r="H24" s="35"/>
      <c r="I24" s="35"/>
      <c r="J24" s="35"/>
      <c r="K24" s="35"/>
      <c r="L24" s="42"/>
    </row>
    <row r="25" spans="2:19" x14ac:dyDescent="0.3">
      <c r="B25" s="41"/>
      <c r="C25" s="138" t="s">
        <v>43</v>
      </c>
      <c r="D25" s="56">
        <f>D12+D13</f>
        <v>46</v>
      </c>
      <c r="E25" s="49">
        <f>SUM(I12:I14)</f>
        <v>18.142958993440107</v>
      </c>
      <c r="F25" s="57">
        <f t="shared" si="6"/>
        <v>42.772225518546378</v>
      </c>
      <c r="G25" s="58"/>
      <c r="H25" s="59"/>
      <c r="I25" s="35"/>
      <c r="J25" s="35"/>
      <c r="K25" s="35"/>
      <c r="L25" s="42"/>
    </row>
    <row r="26" spans="2:19" x14ac:dyDescent="0.3">
      <c r="B26" s="41"/>
      <c r="C26" s="45" t="s">
        <v>41</v>
      </c>
      <c r="D26" s="60">
        <f>SUM(D22:D25)</f>
        <v>107264</v>
      </c>
      <c r="E26" s="60">
        <f>SUM(E22:E25)</f>
        <v>107264</v>
      </c>
      <c r="F26" s="146">
        <f>SUM(F22:F25)</f>
        <v>129.85910068835156</v>
      </c>
      <c r="G26" s="35"/>
      <c r="H26" s="35"/>
      <c r="I26" s="35"/>
      <c r="J26" s="35"/>
      <c r="K26" s="35"/>
      <c r="L26" s="42"/>
    </row>
    <row r="27" spans="2:19" x14ac:dyDescent="0.3">
      <c r="B27" s="41"/>
      <c r="C27" s="35"/>
      <c r="D27" s="35"/>
      <c r="E27" s="35"/>
      <c r="F27" s="35"/>
      <c r="G27" s="35"/>
      <c r="H27" s="35"/>
      <c r="I27" s="35"/>
      <c r="J27" s="35"/>
      <c r="K27" s="35"/>
      <c r="L27" s="42"/>
    </row>
    <row r="28" spans="2:19" ht="23.25" customHeight="1" x14ac:dyDescent="0.3">
      <c r="B28" s="41"/>
      <c r="C28" s="35"/>
      <c r="D28" s="35"/>
      <c r="E28" s="53"/>
      <c r="F28" s="35"/>
      <c r="G28" s="35"/>
      <c r="H28" s="206" t="s">
        <v>44</v>
      </c>
      <c r="I28" s="207"/>
      <c r="J28" s="207"/>
      <c r="K28" s="207"/>
      <c r="L28" s="208"/>
    </row>
    <row r="29" spans="2:19" x14ac:dyDescent="0.3">
      <c r="B29" s="41"/>
      <c r="C29" s="202" t="s">
        <v>45</v>
      </c>
      <c r="D29" s="202"/>
      <c r="E29" s="61">
        <f>F26</f>
        <v>129.85910068835156</v>
      </c>
      <c r="F29" s="35"/>
      <c r="G29" s="35"/>
      <c r="H29" s="207"/>
      <c r="I29" s="207"/>
      <c r="J29" s="207"/>
      <c r="K29" s="207"/>
      <c r="L29" s="208"/>
      <c r="Q29" s="62">
        <f>+IF(E29&lt;E30,1,0)</f>
        <v>0</v>
      </c>
      <c r="R29" s="36">
        <v>0</v>
      </c>
      <c r="S29" s="36" t="s">
        <v>46</v>
      </c>
    </row>
    <row r="30" spans="2:19" x14ac:dyDescent="0.3">
      <c r="B30" s="41"/>
      <c r="C30" s="202" t="s">
        <v>47</v>
      </c>
      <c r="D30" s="202"/>
      <c r="E30" s="61">
        <f>_xlfn.CHISQ.INV(0.95,2)</f>
        <v>5.9914645471079799</v>
      </c>
      <c r="F30" s="35"/>
      <c r="G30" s="35"/>
      <c r="H30" s="63"/>
      <c r="I30" s="63"/>
      <c r="J30" s="63"/>
      <c r="K30" s="63"/>
      <c r="L30" s="64"/>
      <c r="R30" s="36">
        <v>1</v>
      </c>
      <c r="S30" s="36" t="s">
        <v>48</v>
      </c>
    </row>
    <row r="31" spans="2:19" ht="18.600000000000001" x14ac:dyDescent="0.3">
      <c r="B31" s="41"/>
      <c r="C31" s="35"/>
      <c r="D31" s="35"/>
      <c r="E31" s="35"/>
      <c r="F31" s="35"/>
      <c r="G31" s="35"/>
      <c r="H31" s="65" t="s">
        <v>49</v>
      </c>
      <c r="I31" s="63"/>
      <c r="J31" s="63"/>
      <c r="K31" s="63"/>
      <c r="L31" s="64"/>
    </row>
    <row r="32" spans="2:19" x14ac:dyDescent="0.3">
      <c r="B32" s="41"/>
      <c r="C32" s="35"/>
      <c r="D32" s="35"/>
      <c r="E32" s="35"/>
      <c r="F32" s="35"/>
      <c r="G32" s="35"/>
      <c r="H32" s="63"/>
      <c r="I32" s="63"/>
      <c r="J32" s="63"/>
      <c r="K32" s="63"/>
      <c r="L32" s="64"/>
    </row>
    <row r="33" spans="2:12" ht="15" x14ac:dyDescent="0.3">
      <c r="B33" s="41"/>
      <c r="C33" s="35"/>
      <c r="D33" s="35"/>
      <c r="E33" s="35"/>
      <c r="F33" s="35"/>
      <c r="G33" s="35"/>
      <c r="H33" s="66" t="s">
        <v>50</v>
      </c>
      <c r="I33" s="55" t="str">
        <f>+IF(E29&lt;E30,"accetto H0","rifiuto H0")</f>
        <v>rifiuto H0</v>
      </c>
      <c r="J33" s="63"/>
      <c r="K33" s="63"/>
      <c r="L33" s="64"/>
    </row>
    <row r="34" spans="2:12" ht="15.6" thickBot="1" x14ac:dyDescent="0.35">
      <c r="B34" s="67"/>
      <c r="C34" s="68"/>
      <c r="D34" s="68"/>
      <c r="E34" s="68"/>
      <c r="F34" s="68"/>
      <c r="G34" s="68"/>
      <c r="H34" s="69"/>
      <c r="I34" s="70"/>
      <c r="J34" s="71"/>
      <c r="K34" s="71"/>
      <c r="L34" s="72"/>
    </row>
    <row r="35" spans="2:12" ht="15" x14ac:dyDescent="0.3">
      <c r="H35" s="73"/>
      <c r="I35" s="74"/>
      <c r="J35" s="75"/>
      <c r="K35" s="75"/>
      <c r="L35" s="75"/>
    </row>
    <row r="36" spans="2:12" ht="15.6" thickBot="1" x14ac:dyDescent="0.35">
      <c r="H36" s="73"/>
      <c r="I36" s="74"/>
      <c r="J36" s="75"/>
      <c r="K36" s="75"/>
      <c r="L36" s="75"/>
    </row>
    <row r="37" spans="2:12" ht="15" x14ac:dyDescent="0.3">
      <c r="B37" s="37" t="s">
        <v>51</v>
      </c>
      <c r="C37" s="39"/>
      <c r="D37" s="39"/>
      <c r="E37" s="39"/>
      <c r="F37" s="39"/>
      <c r="G37" s="39"/>
      <c r="H37" s="76"/>
      <c r="I37" s="77"/>
      <c r="J37" s="78"/>
      <c r="K37" s="78"/>
      <c r="L37" s="79"/>
    </row>
    <row r="38" spans="2:12" ht="15" x14ac:dyDescent="0.3">
      <c r="B38" s="41"/>
      <c r="C38" s="35"/>
      <c r="D38" s="35"/>
      <c r="E38" s="35"/>
      <c r="F38" s="35"/>
      <c r="G38" s="35"/>
      <c r="H38" s="66"/>
      <c r="I38" s="55"/>
      <c r="J38" s="63"/>
      <c r="K38" s="63"/>
      <c r="L38" s="64"/>
    </row>
    <row r="39" spans="2:12" x14ac:dyDescent="0.3">
      <c r="B39" s="41"/>
      <c r="C39" s="35"/>
      <c r="D39" s="35"/>
      <c r="E39" s="35"/>
      <c r="F39" s="35"/>
      <c r="G39" s="35"/>
      <c r="H39" s="35"/>
      <c r="I39" s="35"/>
      <c r="J39" s="35"/>
      <c r="K39" s="35"/>
      <c r="L39" s="42"/>
    </row>
    <row r="40" spans="2:12" ht="31.5" customHeight="1" x14ac:dyDescent="0.3">
      <c r="B40" s="41"/>
      <c r="C40" s="43" t="s">
        <v>33</v>
      </c>
      <c r="D40" s="43" t="s">
        <v>34</v>
      </c>
      <c r="E40" s="43" t="s">
        <v>35</v>
      </c>
      <c r="F40" s="43" t="s">
        <v>36</v>
      </c>
      <c r="G40" s="43" t="s">
        <v>37</v>
      </c>
      <c r="H40" s="43" t="s">
        <v>52</v>
      </c>
      <c r="I40" s="43" t="s">
        <v>53</v>
      </c>
      <c r="J40" s="35"/>
      <c r="K40" s="35"/>
      <c r="L40" s="42"/>
    </row>
    <row r="41" spans="2:12" x14ac:dyDescent="0.3">
      <c r="B41" s="155">
        <f>C41*D41</f>
        <v>0</v>
      </c>
      <c r="C41" s="45">
        <v>0</v>
      </c>
      <c r="D41" s="56">
        <f>D9</f>
        <v>97000</v>
      </c>
      <c r="E41" s="147">
        <f t="shared" ref="E41:G41" si="7">E9</f>
        <v>0.90431085918854415</v>
      </c>
      <c r="F41" s="147">
        <f t="shared" si="7"/>
        <v>0</v>
      </c>
      <c r="G41" s="147">
        <f t="shared" si="7"/>
        <v>9.6143521090399919E-3</v>
      </c>
      <c r="H41" s="149">
        <f>(D56/(1+D56))^D53</f>
        <v>0.90433859266550531</v>
      </c>
      <c r="I41" s="49">
        <f>H41*$D$47</f>
        <v>97002.974803672769</v>
      </c>
      <c r="J41" s="80"/>
      <c r="K41" s="153">
        <f>D41-I41</f>
        <v>-2.9748036727687577</v>
      </c>
      <c r="L41" s="154">
        <f>D9-I9</f>
        <v>244.90404548075458</v>
      </c>
    </row>
    <row r="42" spans="2:12" x14ac:dyDescent="0.3">
      <c r="B42" s="155">
        <f t="shared" ref="B42:B44" si="8">C42*D42</f>
        <v>9520</v>
      </c>
      <c r="C42" s="45">
        <v>1</v>
      </c>
      <c r="D42" s="56">
        <f t="shared" ref="D42:G46" si="9">D10</f>
        <v>9520</v>
      </c>
      <c r="E42" s="147">
        <f t="shared" si="9"/>
        <v>8.875298329355609E-2</v>
      </c>
      <c r="F42" s="147">
        <f t="shared" si="9"/>
        <v>8.875298329355609E-2</v>
      </c>
      <c r="G42" s="147">
        <f t="shared" si="9"/>
        <v>7.1393922396426224E-2</v>
      </c>
      <c r="H42" s="149">
        <f>H41*(C42+$D$53-1)/(C42*(1+$D$56))</f>
        <v>8.8694594945891603E-2</v>
      </c>
      <c r="I42" s="49">
        <f t="shared" ref="I42:I46" si="10">H42*$D$47</f>
        <v>9513.7370322761162</v>
      </c>
      <c r="J42" s="80"/>
      <c r="K42" s="153">
        <f t="shared" ref="K42:K46" si="11">D42-I42</f>
        <v>6.2629677238837758</v>
      </c>
      <c r="L42" s="154">
        <f t="shared" ref="L42:L46" si="12">D10-I10</f>
        <v>-456.42602603839805</v>
      </c>
    </row>
    <row r="43" spans="2:12" x14ac:dyDescent="0.3">
      <c r="B43" s="155">
        <f t="shared" si="8"/>
        <v>1396</v>
      </c>
      <c r="C43" s="45">
        <v>2</v>
      </c>
      <c r="D43" s="56">
        <f t="shared" si="9"/>
        <v>698</v>
      </c>
      <c r="E43" s="147">
        <f t="shared" si="9"/>
        <v>6.5073090692124103E-3</v>
      </c>
      <c r="F43" s="147">
        <f t="shared" si="9"/>
        <v>1.3014618138424821E-2</v>
      </c>
      <c r="G43" s="147">
        <f t="shared" si="9"/>
        <v>2.3414543238436059E-2</v>
      </c>
      <c r="H43" s="149">
        <f t="shared" ref="H43:H45" si="13">H42*(C43+$D$53-1)/(C43*(1+$D$56))</f>
        <v>6.5142564203809795E-3</v>
      </c>
      <c r="I43" s="49">
        <f t="shared" si="10"/>
        <v>698.74520067574542</v>
      </c>
      <c r="J43" s="80"/>
      <c r="K43" s="153">
        <f t="shared" si="11"/>
        <v>-0.74520067574542281</v>
      </c>
      <c r="L43" s="154">
        <f t="shared" si="12"/>
        <v>183.66493955108569</v>
      </c>
    </row>
    <row r="44" spans="2:12" x14ac:dyDescent="0.3">
      <c r="B44" s="155">
        <f t="shared" si="8"/>
        <v>120</v>
      </c>
      <c r="C44" s="45">
        <v>3</v>
      </c>
      <c r="D44" s="56">
        <f t="shared" si="9"/>
        <v>40</v>
      </c>
      <c r="E44" s="147">
        <f t="shared" si="9"/>
        <v>3.7291169451073985E-4</v>
      </c>
      <c r="F44" s="147">
        <f t="shared" si="9"/>
        <v>1.1187350835322196E-3</v>
      </c>
      <c r="G44" s="147">
        <f t="shared" si="9"/>
        <v>3.1294641960518742E-3</v>
      </c>
      <c r="H44" s="149">
        <f t="shared" si="13"/>
        <v>4.2496172565282609E-4</v>
      </c>
      <c r="I44" s="49">
        <f t="shared" si="10"/>
        <v>45.583094540424739</v>
      </c>
      <c r="J44" s="80"/>
      <c r="K44" s="153">
        <f t="shared" si="11"/>
        <v>-5.5830945404247387</v>
      </c>
      <c r="L44" s="154">
        <f t="shared" si="12"/>
        <v>22.322289651187752</v>
      </c>
    </row>
    <row r="45" spans="2:12" x14ac:dyDescent="0.3">
      <c r="B45" s="155">
        <f>C45*D45</f>
        <v>24</v>
      </c>
      <c r="C45" s="45">
        <v>4</v>
      </c>
      <c r="D45" s="56">
        <f t="shared" si="9"/>
        <v>6</v>
      </c>
      <c r="E45" s="147">
        <f t="shared" si="9"/>
        <v>5.5936754176610981E-5</v>
      </c>
      <c r="F45" s="147">
        <f t="shared" si="9"/>
        <v>2.2374701670644392E-4</v>
      </c>
      <c r="G45" s="147">
        <f t="shared" si="9"/>
        <v>8.4944162185271487E-4</v>
      </c>
      <c r="H45" s="149">
        <f t="shared" si="13"/>
        <v>2.5978125872899978E-5</v>
      </c>
      <c r="I45" s="49">
        <f t="shared" si="10"/>
        <v>2.7865176936307434</v>
      </c>
      <c r="J45" s="80"/>
      <c r="K45" s="153">
        <f t="shared" si="11"/>
        <v>3.2134823063692566</v>
      </c>
      <c r="L45" s="154">
        <f t="shared" si="12"/>
        <v>5.5443124523188967</v>
      </c>
    </row>
    <row r="46" spans="2:12" x14ac:dyDescent="0.3">
      <c r="B46" s="41"/>
      <c r="C46" s="45" t="s">
        <v>40</v>
      </c>
      <c r="D46" s="56">
        <f t="shared" si="9"/>
        <v>0</v>
      </c>
      <c r="E46" s="147">
        <f t="shared" si="9"/>
        <v>0</v>
      </c>
      <c r="F46" s="147">
        <f t="shared" si="9"/>
        <v>0</v>
      </c>
      <c r="G46" s="147">
        <f t="shared" si="9"/>
        <v>0</v>
      </c>
      <c r="H46" s="150">
        <f>1-SUM(H41:H45)</f>
        <v>1.6161166963568618E-6</v>
      </c>
      <c r="I46" s="49">
        <f t="shared" si="10"/>
        <v>0.17335114131802243</v>
      </c>
      <c r="J46" s="35"/>
      <c r="K46" s="153">
        <f t="shared" si="11"/>
        <v>-0.17335114131802243</v>
      </c>
      <c r="L46" s="154">
        <f t="shared" si="12"/>
        <v>-9.5610969467543327E-3</v>
      </c>
    </row>
    <row r="47" spans="2:12" x14ac:dyDescent="0.3">
      <c r="B47" s="155">
        <f>SUM(B41:B45)</f>
        <v>11060</v>
      </c>
      <c r="C47" s="45" t="s">
        <v>41</v>
      </c>
      <c r="D47" s="50">
        <f>SUM(D41:D46)</f>
        <v>107264</v>
      </c>
      <c r="E47" s="81"/>
      <c r="F47" s="82"/>
      <c r="G47" s="50"/>
      <c r="H47" s="51"/>
      <c r="I47" s="83"/>
      <c r="J47" s="35"/>
      <c r="K47" s="35"/>
      <c r="L47" s="42"/>
    </row>
    <row r="48" spans="2:12" x14ac:dyDescent="0.3">
      <c r="B48" s="41"/>
      <c r="C48" s="84"/>
      <c r="D48" s="35"/>
      <c r="E48" s="35"/>
      <c r="F48" s="35"/>
      <c r="G48" s="35"/>
      <c r="H48" s="35"/>
      <c r="I48" s="35"/>
      <c r="J48" s="35"/>
      <c r="K48" s="35"/>
      <c r="L48" s="42"/>
    </row>
    <row r="49" spans="2:12" ht="15" x14ac:dyDescent="0.25">
      <c r="B49" s="41"/>
      <c r="C49" s="55" t="s">
        <v>36</v>
      </c>
      <c r="D49" s="148">
        <f>D17</f>
        <v>0.10311008353221957</v>
      </c>
      <c r="E49" s="35"/>
      <c r="F49" s="35"/>
      <c r="G49" s="35"/>
      <c r="H49" s="35"/>
      <c r="I49" s="35"/>
      <c r="J49" s="35"/>
      <c r="K49" s="35"/>
      <c r="L49" s="42"/>
    </row>
    <row r="50" spans="2:12" ht="15" x14ac:dyDescent="0.25">
      <c r="B50" s="41"/>
      <c r="C50" s="55" t="s">
        <v>37</v>
      </c>
      <c r="D50" s="148">
        <f>D18</f>
        <v>0.10840172356180686</v>
      </c>
      <c r="E50" s="35"/>
      <c r="F50" s="35"/>
      <c r="G50" s="35"/>
      <c r="H50" s="35"/>
      <c r="I50" s="35"/>
      <c r="J50" s="35"/>
      <c r="K50" s="35"/>
      <c r="L50" s="42"/>
    </row>
    <row r="51" spans="2:12" x14ac:dyDescent="0.3">
      <c r="B51" s="41"/>
      <c r="C51" s="35"/>
      <c r="D51" s="35"/>
      <c r="E51" s="35"/>
      <c r="F51" s="35"/>
      <c r="G51" s="35"/>
      <c r="H51" s="35"/>
      <c r="I51" s="35"/>
      <c r="J51" s="35"/>
      <c r="K51" s="35"/>
      <c r="L51" s="85"/>
    </row>
    <row r="52" spans="2:12" x14ac:dyDescent="0.3">
      <c r="B52" s="41"/>
      <c r="C52" s="35"/>
      <c r="D52" s="35"/>
      <c r="E52" s="35"/>
      <c r="F52" s="35"/>
      <c r="G52" s="35"/>
      <c r="H52" s="35"/>
      <c r="I52" s="35"/>
      <c r="J52" s="59"/>
      <c r="K52" s="35"/>
      <c r="L52" s="42"/>
    </row>
    <row r="53" spans="2:12" ht="15" x14ac:dyDescent="0.25">
      <c r="B53" s="41"/>
      <c r="C53" s="66"/>
      <c r="D53" s="86">
        <f>D49^2/(D50-D49)</f>
        <v>2.009148253958327</v>
      </c>
      <c r="E53" s="35"/>
      <c r="F53" s="35"/>
      <c r="G53" s="35"/>
      <c r="H53" s="35"/>
      <c r="I53" s="35"/>
      <c r="J53" s="35"/>
      <c r="K53" s="35"/>
      <c r="L53" s="42"/>
    </row>
    <row r="54" spans="2:12" x14ac:dyDescent="0.3">
      <c r="B54" s="41"/>
      <c r="C54" s="35"/>
      <c r="D54" s="87"/>
      <c r="E54" s="35"/>
      <c r="F54" s="35"/>
      <c r="G54" s="35"/>
      <c r="H54" s="35"/>
      <c r="I54" s="35"/>
      <c r="J54" s="35"/>
      <c r="K54" s="35"/>
      <c r="L54" s="42"/>
    </row>
    <row r="55" spans="2:12" x14ac:dyDescent="0.3">
      <c r="B55" s="41"/>
      <c r="C55" s="35"/>
      <c r="D55" s="87"/>
      <c r="E55" s="35"/>
      <c r="F55" s="35"/>
      <c r="G55" s="35"/>
      <c r="H55" s="35"/>
      <c r="I55" s="35"/>
      <c r="J55" s="35"/>
      <c r="K55" s="35"/>
      <c r="L55" s="42"/>
    </row>
    <row r="56" spans="2:12" ht="15" x14ac:dyDescent="0.25">
      <c r="B56" s="41"/>
      <c r="C56" s="66"/>
      <c r="D56" s="86">
        <f>D49/(D50-D49)</f>
        <v>19.485468201861302</v>
      </c>
      <c r="E56" s="35"/>
      <c r="F56" s="35"/>
      <c r="G56" s="35"/>
      <c r="H56" s="35"/>
      <c r="I56" s="35"/>
      <c r="J56" s="88"/>
      <c r="K56" s="35"/>
      <c r="L56" s="42"/>
    </row>
    <row r="57" spans="2:12" x14ac:dyDescent="0.25">
      <c r="B57" s="41"/>
      <c r="C57" s="35"/>
      <c r="D57" s="35"/>
      <c r="E57" s="35"/>
      <c r="F57" s="35"/>
      <c r="G57" s="35"/>
      <c r="H57" s="89"/>
      <c r="I57" s="35"/>
      <c r="J57" s="35"/>
      <c r="K57" s="35"/>
      <c r="L57" s="42"/>
    </row>
    <row r="58" spans="2:12" x14ac:dyDescent="0.3">
      <c r="B58" s="41"/>
      <c r="C58" s="35"/>
      <c r="D58" s="35"/>
      <c r="E58" s="35"/>
      <c r="F58" s="35"/>
      <c r="G58" s="35"/>
      <c r="H58" s="35"/>
      <c r="I58" s="35"/>
      <c r="J58" s="35"/>
      <c r="K58" s="35"/>
      <c r="L58" s="42"/>
    </row>
    <row r="59" spans="2:12" ht="27" customHeight="1" x14ac:dyDescent="0.3">
      <c r="B59" s="41"/>
      <c r="C59" s="43" t="s">
        <v>33</v>
      </c>
      <c r="D59" s="43" t="s">
        <v>34</v>
      </c>
      <c r="E59" s="43" t="s">
        <v>53</v>
      </c>
      <c r="F59" s="43" t="s">
        <v>42</v>
      </c>
      <c r="G59" s="35"/>
      <c r="H59" s="35"/>
      <c r="I59" s="59"/>
      <c r="J59" s="35"/>
      <c r="K59" s="35"/>
      <c r="L59" s="42"/>
    </row>
    <row r="60" spans="2:12" x14ac:dyDescent="0.3">
      <c r="B60" s="41"/>
      <c r="C60" s="45">
        <f t="shared" ref="C60:C62" si="14">+C41</f>
        <v>0</v>
      </c>
      <c r="D60" s="49">
        <f>D22</f>
        <v>97000</v>
      </c>
      <c r="E60" s="49">
        <f>I41</f>
        <v>97002.974803672769</v>
      </c>
      <c r="F60" s="57">
        <f>(D60-E60)^2/E60</f>
        <v>9.1228716536056456E-5</v>
      </c>
      <c r="G60" s="35"/>
      <c r="H60" s="35"/>
      <c r="I60" s="35"/>
      <c r="J60" s="35"/>
      <c r="K60" s="35"/>
      <c r="L60" s="42"/>
    </row>
    <row r="61" spans="2:12" x14ac:dyDescent="0.3">
      <c r="B61" s="41"/>
      <c r="C61" s="45">
        <f t="shared" si="14"/>
        <v>1</v>
      </c>
      <c r="D61" s="49">
        <f t="shared" ref="D61:D63" si="15">D23</f>
        <v>9520</v>
      </c>
      <c r="E61" s="49">
        <f>I42</f>
        <v>9513.7370322761162</v>
      </c>
      <c r="F61" s="57">
        <f t="shared" ref="F61:F63" si="16">(D61-E61)^2/E61</f>
        <v>4.122960785791825E-3</v>
      </c>
      <c r="G61" s="35"/>
      <c r="H61" s="35"/>
      <c r="I61" s="35"/>
      <c r="J61" s="35"/>
      <c r="K61" s="35"/>
      <c r="L61" s="42"/>
    </row>
    <row r="62" spans="2:12" x14ac:dyDescent="0.3">
      <c r="B62" s="41"/>
      <c r="C62" s="45">
        <f t="shared" si="14"/>
        <v>2</v>
      </c>
      <c r="D62" s="49">
        <f t="shared" si="15"/>
        <v>698</v>
      </c>
      <c r="E62" s="49">
        <f>I43</f>
        <v>698.74520067574542</v>
      </c>
      <c r="F62" s="57">
        <f t="shared" si="16"/>
        <v>7.9474470321139906E-4</v>
      </c>
      <c r="G62" s="35"/>
      <c r="H62" s="35"/>
      <c r="I62" s="35"/>
      <c r="J62" s="35"/>
      <c r="K62" s="35"/>
      <c r="L62" s="42"/>
    </row>
    <row r="63" spans="2:12" x14ac:dyDescent="0.3">
      <c r="B63" s="41"/>
      <c r="C63" s="45" t="s">
        <v>43</v>
      </c>
      <c r="D63" s="49">
        <f t="shared" si="15"/>
        <v>46</v>
      </c>
      <c r="E63" s="49">
        <f>I44+I45+I46</f>
        <v>48.542963375373503</v>
      </c>
      <c r="F63" s="57">
        <f t="shared" si="16"/>
        <v>0.13321524436993121</v>
      </c>
      <c r="G63" s="35"/>
      <c r="H63" s="35"/>
      <c r="I63" s="35"/>
      <c r="J63" s="35"/>
      <c r="K63" s="35"/>
      <c r="L63" s="42"/>
    </row>
    <row r="64" spans="2:12" x14ac:dyDescent="0.3">
      <c r="B64" s="41"/>
      <c r="C64" s="45" t="s">
        <v>41</v>
      </c>
      <c r="D64" s="60"/>
      <c r="E64" s="60"/>
      <c r="F64" s="81">
        <f>SUM(F60:F63)</f>
        <v>0.13822417857547048</v>
      </c>
      <c r="G64" s="35"/>
      <c r="H64" s="35"/>
      <c r="I64" s="35"/>
      <c r="J64" s="35"/>
      <c r="K64" s="35"/>
      <c r="L64" s="42"/>
    </row>
    <row r="65" spans="2:12" x14ac:dyDescent="0.3">
      <c r="B65" s="41"/>
      <c r="C65" s="35"/>
      <c r="D65" s="35"/>
      <c r="E65" s="35"/>
      <c r="F65" s="35"/>
      <c r="G65" s="35"/>
      <c r="H65" s="35"/>
      <c r="I65" s="35"/>
      <c r="J65" s="35"/>
      <c r="K65" s="35"/>
      <c r="L65" s="42"/>
    </row>
    <row r="66" spans="2:12" ht="25.5" customHeight="1" x14ac:dyDescent="0.3">
      <c r="B66" s="41"/>
      <c r="C66" s="35"/>
      <c r="D66" s="35"/>
      <c r="E66" s="35"/>
      <c r="F66" s="35"/>
      <c r="G66" s="90"/>
      <c r="H66" s="206" t="s">
        <v>44</v>
      </c>
      <c r="I66" s="207"/>
      <c r="J66" s="207"/>
      <c r="K66" s="207"/>
      <c r="L66" s="208"/>
    </row>
    <row r="67" spans="2:12" x14ac:dyDescent="0.25">
      <c r="B67" s="41"/>
      <c r="C67" s="202" t="s">
        <v>45</v>
      </c>
      <c r="D67" s="202"/>
      <c r="E67" s="61">
        <f>F64</f>
        <v>0.13822417857547048</v>
      </c>
      <c r="F67" s="35"/>
      <c r="G67" s="91"/>
      <c r="H67" s="207"/>
      <c r="I67" s="207"/>
      <c r="J67" s="207"/>
      <c r="K67" s="207"/>
      <c r="L67" s="208"/>
    </row>
    <row r="68" spans="2:12" x14ac:dyDescent="0.25">
      <c r="B68" s="41"/>
      <c r="C68" s="202" t="s">
        <v>47</v>
      </c>
      <c r="D68" s="202"/>
      <c r="E68" s="61">
        <f>_xlfn.CHISQ.INV(0.95,1)</f>
        <v>3.8414588206941236</v>
      </c>
      <c r="F68" s="35"/>
      <c r="G68" s="92"/>
      <c r="H68" s="63"/>
      <c r="I68" s="63"/>
      <c r="J68" s="63"/>
      <c r="K68" s="63"/>
      <c r="L68" s="64"/>
    </row>
    <row r="69" spans="2:12" ht="18.600000000000001" x14ac:dyDescent="0.3">
      <c r="B69" s="41"/>
      <c r="C69" s="35"/>
      <c r="D69" s="35"/>
      <c r="E69" s="35"/>
      <c r="F69" s="35"/>
      <c r="G69" s="93"/>
      <c r="H69" s="65" t="s">
        <v>49</v>
      </c>
      <c r="I69" s="63"/>
      <c r="J69" s="63"/>
      <c r="K69" s="63"/>
      <c r="L69" s="64"/>
    </row>
    <row r="70" spans="2:12" x14ac:dyDescent="0.25">
      <c r="B70" s="41"/>
      <c r="C70" s="35"/>
      <c r="D70" s="35"/>
      <c r="E70" s="35"/>
      <c r="F70" s="35"/>
      <c r="G70" s="92"/>
      <c r="H70" s="92"/>
      <c r="I70" s="92"/>
      <c r="J70" s="92"/>
      <c r="K70" s="92"/>
      <c r="L70" s="42"/>
    </row>
    <row r="71" spans="2:12" ht="15.6" x14ac:dyDescent="0.3">
      <c r="B71" s="41"/>
      <c r="C71" s="35"/>
      <c r="D71" s="35"/>
      <c r="E71" s="35"/>
      <c r="F71" s="35"/>
      <c r="G71" s="94"/>
      <c r="H71" s="66" t="s">
        <v>50</v>
      </c>
      <c r="I71" s="55" t="str">
        <f>+IF(E67&lt;E68,"accetto H0","rifiuto H0")</f>
        <v>accetto H0</v>
      </c>
      <c r="J71" s="92"/>
      <c r="K71" s="92"/>
      <c r="L71" s="42"/>
    </row>
    <row r="72" spans="2:12" ht="14.4" thickBot="1" x14ac:dyDescent="0.3">
      <c r="B72" s="67"/>
      <c r="C72" s="68"/>
      <c r="D72" s="68"/>
      <c r="E72" s="68"/>
      <c r="F72" s="95"/>
      <c r="G72" s="95"/>
      <c r="H72" s="95"/>
      <c r="I72" s="95"/>
      <c r="J72" s="95"/>
      <c r="K72" s="68"/>
      <c r="L72" s="96"/>
    </row>
  </sheetData>
  <mergeCells count="8">
    <mergeCell ref="C68:D68"/>
    <mergeCell ref="B2:L2"/>
    <mergeCell ref="B3:L4"/>
    <mergeCell ref="H28:L29"/>
    <mergeCell ref="C29:D29"/>
    <mergeCell ref="C30:D30"/>
    <mergeCell ref="H66:L67"/>
    <mergeCell ref="C67:D67"/>
  </mergeCells>
  <pageMargins left="0.75" right="0.75" top="1" bottom="1" header="0.5" footer="0.5"/>
  <pageSetup paperSize="9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4097" r:id="rId4">
          <objectPr defaultSize="0" autoPict="0" r:id="rId5">
            <anchor moveWithCells="1" sizeWithCells="1">
              <from>
                <xdr:col>4</xdr:col>
                <xdr:colOff>685800</xdr:colOff>
                <xdr:row>16</xdr:row>
                <xdr:rowOff>60960</xdr:rowOff>
              </from>
              <to>
                <xdr:col>6</xdr:col>
                <xdr:colOff>289560</xdr:colOff>
                <xdr:row>17</xdr:row>
                <xdr:rowOff>144780</xdr:rowOff>
              </to>
            </anchor>
          </objectPr>
        </oleObject>
      </mc:Choice>
      <mc:Fallback>
        <oleObject progId="Equation.3" shapeId="4097" r:id="rId4"/>
      </mc:Fallback>
    </mc:AlternateContent>
    <mc:AlternateContent xmlns:mc="http://schemas.openxmlformats.org/markup-compatibility/2006">
      <mc:Choice Requires="x14">
        <oleObject progId="Equation.3" shapeId="4098" r:id="rId6">
          <objectPr defaultSize="0" autoPict="0" r:id="rId7">
            <anchor moveWithCells="1">
              <from>
                <xdr:col>2</xdr:col>
                <xdr:colOff>594360</xdr:colOff>
                <xdr:row>51</xdr:row>
                <xdr:rowOff>68580</xdr:rowOff>
              </from>
              <to>
                <xdr:col>3</xdr:col>
                <xdr:colOff>0</xdr:colOff>
                <xdr:row>54</xdr:row>
                <xdr:rowOff>0</xdr:rowOff>
              </to>
            </anchor>
          </objectPr>
        </oleObject>
      </mc:Choice>
      <mc:Fallback>
        <oleObject progId="Equation.3" shapeId="4098" r:id="rId6"/>
      </mc:Fallback>
    </mc:AlternateContent>
    <mc:AlternateContent xmlns:mc="http://schemas.openxmlformats.org/markup-compatibility/2006">
      <mc:Choice Requires="x14">
        <oleObject progId="Equation.3" shapeId="4099" r:id="rId8">
          <objectPr defaultSize="0" autoPict="0" r:id="rId9">
            <anchor moveWithCells="1">
              <from>
                <xdr:col>2</xdr:col>
                <xdr:colOff>594360</xdr:colOff>
                <xdr:row>54</xdr:row>
                <xdr:rowOff>114300</xdr:rowOff>
              </from>
              <to>
                <xdr:col>3</xdr:col>
                <xdr:colOff>0</xdr:colOff>
                <xdr:row>57</xdr:row>
                <xdr:rowOff>0</xdr:rowOff>
              </to>
            </anchor>
          </objectPr>
        </oleObject>
      </mc:Choice>
      <mc:Fallback>
        <oleObject progId="Equation.3" shapeId="4099" r:id="rId8"/>
      </mc:Fallback>
    </mc:AlternateContent>
    <mc:AlternateContent xmlns:mc="http://schemas.openxmlformats.org/markup-compatibility/2006">
      <mc:Choice Requires="x14">
        <oleObject progId="Equation.3" shapeId="4100" r:id="rId10">
          <objectPr defaultSize="0" autoPict="0" r:id="rId11">
            <anchor moveWithCells="1" sizeWithCells="1">
              <from>
                <xdr:col>6</xdr:col>
                <xdr:colOff>403860</xdr:colOff>
                <xdr:row>17</xdr:row>
                <xdr:rowOff>152400</xdr:rowOff>
              </from>
              <to>
                <xdr:col>8</xdr:col>
                <xdr:colOff>1112520</xdr:colOff>
                <xdr:row>22</xdr:row>
                <xdr:rowOff>114300</xdr:rowOff>
              </to>
            </anchor>
          </objectPr>
        </oleObject>
      </mc:Choice>
      <mc:Fallback>
        <oleObject progId="Equation.3" shapeId="4100" r:id="rId10"/>
      </mc:Fallback>
    </mc:AlternateContent>
    <mc:AlternateContent xmlns:mc="http://schemas.openxmlformats.org/markup-compatibility/2006">
      <mc:Choice Requires="x14">
        <oleObject progId="Equation.3" shapeId="4101" r:id="rId12">
          <objectPr defaultSize="0" autoPict="0" r:id="rId11">
            <anchor moveWithCells="1" sizeWithCells="1">
              <from>
                <xdr:col>6</xdr:col>
                <xdr:colOff>396240</xdr:colOff>
                <xdr:row>57</xdr:row>
                <xdr:rowOff>144780</xdr:rowOff>
              </from>
              <to>
                <xdr:col>8</xdr:col>
                <xdr:colOff>0</xdr:colOff>
                <xdr:row>60</xdr:row>
                <xdr:rowOff>76200</xdr:rowOff>
              </to>
            </anchor>
          </objectPr>
        </oleObject>
      </mc:Choice>
      <mc:Fallback>
        <oleObject progId="Equation.3" shapeId="4101" r:id="rId12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5"/>
  <dimension ref="A1:I25"/>
  <sheetViews>
    <sheetView zoomScale="130" zoomScaleNormal="130" workbookViewId="0">
      <selection activeCell="D16" sqref="D16"/>
    </sheetView>
  </sheetViews>
  <sheetFormatPr defaultColWidth="8.77734375" defaultRowHeight="13.2" x14ac:dyDescent="0.25"/>
  <cols>
    <col min="1" max="1" width="9.44140625" style="89" bestFit="1" customWidth="1"/>
    <col min="2" max="2" width="12.21875" style="89" customWidth="1"/>
    <col min="3" max="3" width="11.44140625" style="89" bestFit="1" customWidth="1"/>
    <col min="4" max="4" width="13.21875" style="89" customWidth="1"/>
    <col min="5" max="5" width="17.77734375" style="89" bestFit="1" customWidth="1"/>
    <col min="6" max="6" width="9.77734375" style="89" bestFit="1" customWidth="1"/>
    <col min="7" max="7" width="13.88671875" style="89" bestFit="1" customWidth="1"/>
    <col min="8" max="8" width="12.44140625" style="89" bestFit="1" customWidth="1"/>
    <col min="9" max="16384" width="8.77734375" style="89"/>
  </cols>
  <sheetData>
    <row r="1" spans="1:9" x14ac:dyDescent="0.25">
      <c r="A1" s="209" t="s">
        <v>54</v>
      </c>
      <c r="B1" s="209"/>
      <c r="C1" s="97" t="s">
        <v>55</v>
      </c>
      <c r="D1" s="97" t="s">
        <v>56</v>
      </c>
      <c r="E1" s="98" t="s">
        <v>20</v>
      </c>
    </row>
    <row r="2" spans="1:9" ht="14.4" x14ac:dyDescent="0.3">
      <c r="A2" s="99">
        <v>1</v>
      </c>
      <c r="B2" s="99">
        <v>300</v>
      </c>
      <c r="C2" s="100">
        <v>100</v>
      </c>
      <c r="D2" s="156">
        <f>AVERAGE(A2:B2)</f>
        <v>150.5</v>
      </c>
      <c r="E2" s="99">
        <f>(D2-$H$2)^2*C2</f>
        <v>652902994.37363279</v>
      </c>
      <c r="G2" s="97" t="s">
        <v>19</v>
      </c>
      <c r="H2" s="99">
        <f>SUMPRODUCT(D2:D16,C2:C16)/C17</f>
        <v>2705.6966546112117</v>
      </c>
    </row>
    <row r="3" spans="1:9" ht="14.4" x14ac:dyDescent="0.3">
      <c r="A3" s="99">
        <f>B2+1</f>
        <v>301</v>
      </c>
      <c r="B3" s="99">
        <f>B2+300</f>
        <v>600</v>
      </c>
      <c r="C3" s="100">
        <v>200</v>
      </c>
      <c r="D3" s="156">
        <f t="shared" ref="D3:D15" si="0">AVERAGE(A3:B3)</f>
        <v>450.5</v>
      </c>
      <c r="E3" s="99">
        <f t="shared" ref="E3:E16" si="1">(D3-$H$2)^2*C3</f>
        <v>1017182390.1939203</v>
      </c>
      <c r="G3" s="97" t="s">
        <v>20</v>
      </c>
      <c r="H3" s="99">
        <f>SUM(E2:E16)/C17</f>
        <v>43464634.840395682</v>
      </c>
    </row>
    <row r="4" spans="1:9" ht="14.4" x14ac:dyDescent="0.3">
      <c r="A4" s="99">
        <f t="shared" ref="A4:A16" si="2">B3+1</f>
        <v>601</v>
      </c>
      <c r="B4" s="99">
        <f t="shared" ref="B4:B15" si="3">B3+300</f>
        <v>900</v>
      </c>
      <c r="C4" s="100">
        <v>300</v>
      </c>
      <c r="D4" s="156">
        <f t="shared" si="0"/>
        <v>750.5</v>
      </c>
      <c r="E4" s="99">
        <f t="shared" si="1"/>
        <v>1146838187.4608622</v>
      </c>
      <c r="H4" s="101"/>
      <c r="I4" s="102"/>
    </row>
    <row r="5" spans="1:9" ht="14.4" x14ac:dyDescent="0.3">
      <c r="A5" s="99">
        <f t="shared" si="2"/>
        <v>901</v>
      </c>
      <c r="B5" s="99">
        <f t="shared" si="3"/>
        <v>1200</v>
      </c>
      <c r="C5" s="100">
        <v>150</v>
      </c>
      <c r="D5" s="156">
        <f t="shared" si="0"/>
        <v>1050.5</v>
      </c>
      <c r="E5" s="99">
        <f t="shared" si="1"/>
        <v>410951394.815422</v>
      </c>
      <c r="G5" s="100" t="s">
        <v>57</v>
      </c>
      <c r="H5" s="100" t="s">
        <v>58</v>
      </c>
    </row>
    <row r="6" spans="1:9" ht="18" x14ac:dyDescent="0.35">
      <c r="A6" s="99">
        <f t="shared" si="2"/>
        <v>1201</v>
      </c>
      <c r="B6" s="99">
        <f t="shared" si="3"/>
        <v>1500</v>
      </c>
      <c r="C6" s="100">
        <v>300</v>
      </c>
      <c r="D6" s="156">
        <f t="shared" si="0"/>
        <v>1350.5</v>
      </c>
      <c r="E6" s="99">
        <f t="shared" si="1"/>
        <v>550967391.80082595</v>
      </c>
      <c r="G6" s="158">
        <f>LN(H2^2/SQRT(H3+H2^2))</f>
        <v>6.9346693802480042</v>
      </c>
      <c r="H6" s="158">
        <f>SQRT(LN((H3+H2^2)/H2^2))</f>
        <v>1.3917221857600348</v>
      </c>
    </row>
    <row r="7" spans="1:9" ht="14.4" x14ac:dyDescent="0.3">
      <c r="A7" s="99">
        <f t="shared" si="2"/>
        <v>1501</v>
      </c>
      <c r="B7" s="99">
        <f t="shared" si="3"/>
        <v>1800</v>
      </c>
      <c r="C7" s="100">
        <v>1000</v>
      </c>
      <c r="D7" s="156">
        <f t="shared" si="0"/>
        <v>1650.5</v>
      </c>
      <c r="E7" s="99">
        <f t="shared" si="1"/>
        <v>1113439979.9026928</v>
      </c>
    </row>
    <row r="8" spans="1:9" ht="14.4" x14ac:dyDescent="0.3">
      <c r="A8" s="99">
        <f t="shared" si="2"/>
        <v>1801</v>
      </c>
      <c r="B8" s="99">
        <f t="shared" si="3"/>
        <v>2100</v>
      </c>
      <c r="C8" s="100">
        <v>2000</v>
      </c>
      <c r="D8" s="156">
        <f t="shared" si="0"/>
        <v>1950.5</v>
      </c>
      <c r="E8" s="99">
        <f t="shared" si="1"/>
        <v>1140643974.2719314</v>
      </c>
    </row>
    <row r="9" spans="1:9" ht="14.4" x14ac:dyDescent="0.3">
      <c r="A9" s="99">
        <f t="shared" si="2"/>
        <v>2101</v>
      </c>
      <c r="B9" s="99">
        <f t="shared" si="3"/>
        <v>2400</v>
      </c>
      <c r="C9" s="100">
        <v>1000</v>
      </c>
      <c r="D9" s="156">
        <f t="shared" si="0"/>
        <v>2250.5</v>
      </c>
      <c r="E9" s="99">
        <f t="shared" si="1"/>
        <v>207203994.36923873</v>
      </c>
    </row>
    <row r="10" spans="1:9" ht="14.4" x14ac:dyDescent="0.3">
      <c r="A10" s="99">
        <f t="shared" si="2"/>
        <v>2401</v>
      </c>
      <c r="B10" s="99">
        <f t="shared" si="3"/>
        <v>2700</v>
      </c>
      <c r="C10" s="100">
        <v>5000</v>
      </c>
      <c r="D10" s="156">
        <f t="shared" si="0"/>
        <v>2550.5</v>
      </c>
      <c r="E10" s="99">
        <f t="shared" si="1"/>
        <v>120430008.01255864</v>
      </c>
    </row>
    <row r="11" spans="1:9" ht="14.4" x14ac:dyDescent="0.3">
      <c r="A11" s="99">
        <f t="shared" si="2"/>
        <v>2701</v>
      </c>
      <c r="B11" s="99">
        <f t="shared" si="3"/>
        <v>3000</v>
      </c>
      <c r="C11" s="100">
        <v>200</v>
      </c>
      <c r="D11" s="156">
        <f t="shared" si="0"/>
        <v>2850.5</v>
      </c>
      <c r="E11" s="99">
        <f t="shared" si="1"/>
        <v>4193601.7671569455</v>
      </c>
    </row>
    <row r="12" spans="1:9" ht="14.4" x14ac:dyDescent="0.3">
      <c r="A12" s="99">
        <f t="shared" si="2"/>
        <v>3001</v>
      </c>
      <c r="B12" s="99">
        <f t="shared" si="3"/>
        <v>3300</v>
      </c>
      <c r="C12" s="100">
        <v>130</v>
      </c>
      <c r="D12" s="156">
        <f t="shared" si="0"/>
        <v>3150.5</v>
      </c>
      <c r="E12" s="99">
        <f t="shared" si="1"/>
        <v>25720502.088977505</v>
      </c>
    </row>
    <row r="13" spans="1:9" ht="14.4" x14ac:dyDescent="0.3">
      <c r="A13" s="99">
        <f t="shared" si="2"/>
        <v>3301</v>
      </c>
      <c r="B13" s="99">
        <f t="shared" si="3"/>
        <v>3600</v>
      </c>
      <c r="C13" s="100">
        <v>50</v>
      </c>
      <c r="D13" s="156">
        <f t="shared" si="0"/>
        <v>3450.5</v>
      </c>
      <c r="E13" s="99">
        <f t="shared" si="1"/>
        <v>27736601.165116537</v>
      </c>
    </row>
    <row r="14" spans="1:9" ht="14.4" x14ac:dyDescent="0.3">
      <c r="A14" s="99">
        <f t="shared" si="2"/>
        <v>3601</v>
      </c>
      <c r="B14" s="99">
        <f t="shared" si="3"/>
        <v>3900</v>
      </c>
      <c r="C14" s="100">
        <v>80</v>
      </c>
      <c r="D14" s="156">
        <f t="shared" si="0"/>
        <v>3750.5</v>
      </c>
      <c r="E14" s="99">
        <f t="shared" si="1"/>
        <v>87329122.442848295</v>
      </c>
    </row>
    <row r="15" spans="1:9" ht="14.4" x14ac:dyDescent="0.3">
      <c r="A15" s="99">
        <f t="shared" si="2"/>
        <v>3901</v>
      </c>
      <c r="B15" s="99">
        <f t="shared" si="3"/>
        <v>4200</v>
      </c>
      <c r="C15" s="100">
        <v>500</v>
      </c>
      <c r="D15" s="156">
        <f t="shared" si="0"/>
        <v>4050.5</v>
      </c>
      <c r="E15" s="99">
        <f t="shared" si="1"/>
        <v>904248018.88443828</v>
      </c>
    </row>
    <row r="16" spans="1:9" ht="14.4" x14ac:dyDescent="0.3">
      <c r="A16" s="99">
        <f t="shared" si="2"/>
        <v>4201</v>
      </c>
      <c r="B16" s="103" t="s">
        <v>59</v>
      </c>
      <c r="C16" s="100">
        <v>50</v>
      </c>
      <c r="D16" s="157">
        <v>100000</v>
      </c>
      <c r="E16" s="99">
        <f t="shared" si="1"/>
        <v>473309073173.22662</v>
      </c>
    </row>
    <row r="17" spans="2:7" ht="14.4" x14ac:dyDescent="0.3">
      <c r="C17" s="99">
        <f>SUM(C2:C16)</f>
        <v>11060</v>
      </c>
      <c r="D17" s="104"/>
    </row>
    <row r="18" spans="2:7" x14ac:dyDescent="0.25">
      <c r="G18" s="89" t="s">
        <v>91</v>
      </c>
    </row>
    <row r="19" spans="2:7" x14ac:dyDescent="0.25">
      <c r="B19" s="97" t="s">
        <v>83</v>
      </c>
      <c r="C19" s="97">
        <v>1</v>
      </c>
      <c r="D19" s="97">
        <v>2</v>
      </c>
      <c r="F19" s="89">
        <v>0</v>
      </c>
      <c r="G19" s="89" t="s">
        <v>93</v>
      </c>
    </row>
    <row r="20" spans="2:7" x14ac:dyDescent="0.25">
      <c r="B20" s="97" t="s">
        <v>84</v>
      </c>
      <c r="C20" s="100" t="s">
        <v>86</v>
      </c>
      <c r="D20" s="100" t="s">
        <v>87</v>
      </c>
      <c r="E20" s="159"/>
      <c r="F20" s="89">
        <v>1</v>
      </c>
      <c r="G20" s="89" t="s">
        <v>95</v>
      </c>
    </row>
    <row r="21" spans="2:7" x14ac:dyDescent="0.25">
      <c r="B21" s="97" t="s">
        <v>89</v>
      </c>
      <c r="C21" s="160">
        <f>'Numero dei sinistri'!D49</f>
        <v>0.10311008353221957</v>
      </c>
      <c r="D21" s="161">
        <f>'Numero dei sinistri'!D53</f>
        <v>2.009148253958327</v>
      </c>
      <c r="F21" s="89">
        <v>2</v>
      </c>
      <c r="G21" s="89" t="s">
        <v>92</v>
      </c>
    </row>
    <row r="22" spans="2:7" x14ac:dyDescent="0.25">
      <c r="B22" s="97" t="s">
        <v>90</v>
      </c>
      <c r="C22" s="100"/>
      <c r="D22" s="161">
        <f>'Numero dei sinistri'!D56</f>
        <v>19.485468201861302</v>
      </c>
      <c r="F22" s="89">
        <v>3</v>
      </c>
      <c r="G22" s="89" t="s">
        <v>97</v>
      </c>
    </row>
    <row r="23" spans="2:7" x14ac:dyDescent="0.25">
      <c r="B23" s="97" t="s">
        <v>85</v>
      </c>
      <c r="C23" s="100" t="s">
        <v>88</v>
      </c>
      <c r="D23" s="100" t="s">
        <v>88</v>
      </c>
      <c r="F23" s="89">
        <v>4</v>
      </c>
      <c r="G23" s="89" t="s">
        <v>94</v>
      </c>
    </row>
    <row r="24" spans="2:7" x14ac:dyDescent="0.25">
      <c r="B24" s="97" t="s">
        <v>89</v>
      </c>
      <c r="C24" s="156">
        <f>G6</f>
        <v>6.9346693802480042</v>
      </c>
      <c r="D24" s="156">
        <f>C24</f>
        <v>6.9346693802480042</v>
      </c>
      <c r="F24" s="89">
        <v>5</v>
      </c>
      <c r="G24" s="89" t="s">
        <v>96</v>
      </c>
    </row>
    <row r="25" spans="2:7" x14ac:dyDescent="0.25">
      <c r="B25" s="97" t="s">
        <v>90</v>
      </c>
      <c r="C25" s="156">
        <f>H6</f>
        <v>1.3917221857600348</v>
      </c>
      <c r="D25" s="156">
        <f>C25</f>
        <v>1.3917221857600348</v>
      </c>
    </row>
  </sheetData>
  <mergeCells count="1">
    <mergeCell ref="A1:B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1"/>
  <dimension ref="A1:CZ141"/>
  <sheetViews>
    <sheetView zoomScale="120" zoomScaleNormal="120" workbookViewId="0">
      <selection activeCell="B20" sqref="B20"/>
    </sheetView>
  </sheetViews>
  <sheetFormatPr defaultRowHeight="14.4" x14ac:dyDescent="0.3"/>
  <cols>
    <col min="1" max="1" width="24.77734375" bestFit="1" customWidth="1"/>
    <col min="2" max="2" width="18" bestFit="1" customWidth="1"/>
    <col min="3" max="3" width="35.21875" style="111" bestFit="1" customWidth="1"/>
    <col min="4" max="45" width="37.109375" style="111" bestFit="1" customWidth="1"/>
    <col min="46" max="102" width="33" style="111" bestFit="1" customWidth="1"/>
    <col min="103" max="103" width="25.5546875" style="111" customWidth="1"/>
    <col min="104" max="104" width="33" bestFit="1" customWidth="1"/>
  </cols>
  <sheetData>
    <row r="1" spans="1:104" x14ac:dyDescent="0.3">
      <c r="A1" s="106" t="s">
        <v>0</v>
      </c>
    </row>
    <row r="2" spans="1:104" x14ac:dyDescent="0.3">
      <c r="A2" s="12" t="s">
        <v>70</v>
      </c>
      <c r="B2" s="123">
        <f>'SINGOLO SINISTRO'!C21</f>
        <v>0.10311008353221957</v>
      </c>
    </row>
    <row r="3" spans="1:104" x14ac:dyDescent="0.3">
      <c r="A3" s="12" t="s">
        <v>11</v>
      </c>
      <c r="B3" s="180">
        <v>400</v>
      </c>
    </row>
    <row r="4" spans="1:104" x14ac:dyDescent="0.3">
      <c r="A4" s="12" t="s">
        <v>10</v>
      </c>
      <c r="B4" s="124">
        <f>B3*B2</f>
        <v>41.244033412887823</v>
      </c>
      <c r="C4" s="111">
        <v>0</v>
      </c>
      <c r="D4" s="111">
        <v>1</v>
      </c>
      <c r="E4" s="111">
        <v>2</v>
      </c>
      <c r="F4" s="111">
        <v>3</v>
      </c>
      <c r="G4" s="111">
        <v>4</v>
      </c>
      <c r="H4" s="111">
        <v>5</v>
      </c>
      <c r="I4" s="111">
        <v>6</v>
      </c>
      <c r="J4" s="111">
        <v>7</v>
      </c>
      <c r="K4" s="111">
        <v>8</v>
      </c>
      <c r="L4" s="111">
        <v>9</v>
      </c>
      <c r="M4" s="111">
        <v>10</v>
      </c>
      <c r="N4" s="111">
        <v>11</v>
      </c>
      <c r="O4" s="111">
        <v>12</v>
      </c>
      <c r="P4" s="111">
        <v>13</v>
      </c>
      <c r="Q4" s="111">
        <v>14</v>
      </c>
      <c r="R4" s="111">
        <v>15</v>
      </c>
      <c r="S4" s="111">
        <v>16</v>
      </c>
      <c r="T4" s="111">
        <v>17</v>
      </c>
      <c r="U4" s="111">
        <v>18</v>
      </c>
      <c r="V4" s="111">
        <v>19</v>
      </c>
      <c r="W4" s="111">
        <v>20</v>
      </c>
      <c r="X4" s="111">
        <v>21</v>
      </c>
      <c r="Y4" s="111">
        <v>22</v>
      </c>
      <c r="Z4" s="111">
        <v>23</v>
      </c>
      <c r="AA4" s="111">
        <v>24</v>
      </c>
      <c r="AB4" s="111">
        <v>25</v>
      </c>
      <c r="AC4" s="111">
        <v>26</v>
      </c>
      <c r="AD4" s="111">
        <v>27</v>
      </c>
      <c r="AE4" s="111">
        <v>28</v>
      </c>
      <c r="AF4" s="111">
        <v>29</v>
      </c>
      <c r="AG4" s="111">
        <v>30</v>
      </c>
      <c r="AH4" s="111">
        <v>31</v>
      </c>
      <c r="AI4" s="111">
        <v>32</v>
      </c>
      <c r="AJ4" s="111">
        <v>33</v>
      </c>
      <c r="AK4" s="111">
        <v>34</v>
      </c>
      <c r="AL4" s="111">
        <v>35</v>
      </c>
      <c r="AM4" s="111">
        <v>36</v>
      </c>
      <c r="AN4" s="111">
        <v>37</v>
      </c>
      <c r="AO4" s="111">
        <v>38</v>
      </c>
      <c r="AP4" s="111">
        <v>39</v>
      </c>
      <c r="AQ4" s="111">
        <v>40</v>
      </c>
      <c r="AR4" s="111">
        <v>41</v>
      </c>
      <c r="AS4" s="111">
        <v>42</v>
      </c>
      <c r="AT4" s="111">
        <v>43</v>
      </c>
      <c r="AU4" s="111">
        <v>44</v>
      </c>
      <c r="AV4" s="111">
        <v>45</v>
      </c>
      <c r="AW4" s="111">
        <v>46</v>
      </c>
      <c r="AX4" s="111">
        <v>47</v>
      </c>
      <c r="AY4" s="111">
        <v>48</v>
      </c>
      <c r="AZ4" s="111">
        <v>49</v>
      </c>
      <c r="BA4" s="111">
        <v>50</v>
      </c>
      <c r="BB4" s="111">
        <v>51</v>
      </c>
      <c r="BC4" s="111">
        <v>52</v>
      </c>
      <c r="BD4" s="111">
        <v>53</v>
      </c>
      <c r="BE4" s="111">
        <v>54</v>
      </c>
      <c r="BF4" s="111">
        <v>55</v>
      </c>
      <c r="BG4" s="111">
        <v>56</v>
      </c>
      <c r="BH4" s="111">
        <v>57</v>
      </c>
      <c r="BI4" s="111">
        <v>58</v>
      </c>
      <c r="BJ4" s="111">
        <v>59</v>
      </c>
      <c r="BK4" s="111">
        <v>60</v>
      </c>
      <c r="BL4" s="111">
        <v>61</v>
      </c>
      <c r="BM4" s="111">
        <v>62</v>
      </c>
      <c r="BN4" s="111">
        <v>63</v>
      </c>
      <c r="BO4" s="111">
        <v>64</v>
      </c>
      <c r="BP4" s="111">
        <v>65</v>
      </c>
      <c r="BQ4" s="111">
        <v>66</v>
      </c>
      <c r="BR4" s="111">
        <v>67</v>
      </c>
      <c r="BS4" s="111">
        <v>68</v>
      </c>
      <c r="BT4" s="111">
        <v>69</v>
      </c>
      <c r="BU4" s="111">
        <v>70</v>
      </c>
      <c r="BV4" s="111">
        <v>71</v>
      </c>
      <c r="BW4" s="111">
        <v>72</v>
      </c>
      <c r="BX4" s="111">
        <v>73</v>
      </c>
      <c r="BY4" s="111">
        <v>74</v>
      </c>
      <c r="BZ4" s="111">
        <v>75</v>
      </c>
      <c r="CA4" s="111">
        <v>76</v>
      </c>
      <c r="CB4" s="111">
        <v>77</v>
      </c>
      <c r="CC4" s="111">
        <v>78</v>
      </c>
      <c r="CD4" s="111">
        <v>79</v>
      </c>
      <c r="CE4" s="111">
        <v>80</v>
      </c>
      <c r="CF4" s="111">
        <v>81</v>
      </c>
      <c r="CG4" s="111">
        <v>82</v>
      </c>
      <c r="CH4" s="111">
        <v>83</v>
      </c>
      <c r="CI4" s="111">
        <v>84</v>
      </c>
      <c r="CJ4" s="111">
        <v>85</v>
      </c>
      <c r="CK4" s="111">
        <v>86</v>
      </c>
      <c r="CL4" s="111">
        <v>87</v>
      </c>
      <c r="CM4" s="111">
        <v>88</v>
      </c>
      <c r="CN4" s="111">
        <v>89</v>
      </c>
      <c r="CO4" s="111">
        <v>90</v>
      </c>
      <c r="CP4" s="111">
        <v>91</v>
      </c>
      <c r="CQ4" s="111">
        <v>92</v>
      </c>
      <c r="CR4" s="111">
        <v>93</v>
      </c>
      <c r="CS4" s="111">
        <v>94</v>
      </c>
      <c r="CT4" s="111">
        <v>95</v>
      </c>
      <c r="CU4" s="111">
        <v>96</v>
      </c>
      <c r="CV4" s="111">
        <v>97</v>
      </c>
      <c r="CW4" s="111">
        <v>98</v>
      </c>
      <c r="CX4" s="111">
        <v>99</v>
      </c>
      <c r="CY4" s="111">
        <v>100</v>
      </c>
      <c r="CZ4" s="111">
        <v>101</v>
      </c>
    </row>
    <row r="5" spans="1:104" x14ac:dyDescent="0.3">
      <c r="A5" s="12" t="s">
        <v>3</v>
      </c>
      <c r="B5" s="11"/>
      <c r="C5" s="165">
        <f>C6</f>
        <v>1.2244579557937991E-18</v>
      </c>
      <c r="D5" s="166">
        <f>C5+D6</f>
        <v>5.1726042797229571E-17</v>
      </c>
      <c r="E5" s="166">
        <f t="shared" ref="E5:BP5" si="0">D5+E6</f>
        <v>1.093170569099213E-15</v>
      </c>
      <c r="F5" s="166">
        <f t="shared" si="0"/>
        <v>1.5410961515921928E-14</v>
      </c>
      <c r="G5" s="166">
        <f t="shared" si="0"/>
        <v>1.6304182356829649E-13</v>
      </c>
      <c r="H5" s="166">
        <f t="shared" si="0"/>
        <v>1.3808202650206105E-12</v>
      </c>
      <c r="I5" s="166">
        <f t="shared" si="0"/>
        <v>9.7518360531462157E-12</v>
      </c>
      <c r="J5" s="166">
        <f t="shared" si="0"/>
        <v>5.9073901033898358E-11</v>
      </c>
      <c r="K5" s="166">
        <f t="shared" si="0"/>
        <v>3.1335401304124397E-10</v>
      </c>
      <c r="L5" s="166">
        <f t="shared" si="0"/>
        <v>1.4786359503594455E-9</v>
      </c>
      <c r="M5" s="166">
        <f t="shared" si="0"/>
        <v>6.2847286661781184E-9</v>
      </c>
      <c r="N5" s="166">
        <f t="shared" si="0"/>
        <v>2.4304969444056399E-8</v>
      </c>
      <c r="O5" s="166">
        <f t="shared" si="0"/>
        <v>8.6240587173314371E-8</v>
      </c>
      <c r="P5" s="166">
        <f t="shared" si="0"/>
        <v>2.8273864002511214E-7</v>
      </c>
      <c r="Q5" s="166">
        <f t="shared" si="0"/>
        <v>8.6162237269560811E-7</v>
      </c>
      <c r="R5" s="166">
        <f t="shared" si="0"/>
        <v>2.4533223735248818E-6</v>
      </c>
      <c r="S5" s="166">
        <f t="shared" si="0"/>
        <v>6.5563303746183955E-6</v>
      </c>
      <c r="T5" s="166">
        <f t="shared" si="0"/>
        <v>1.6510718556409397E-5</v>
      </c>
      <c r="U5" s="166">
        <f t="shared" si="0"/>
        <v>3.9319558488334004E-5</v>
      </c>
      <c r="V5" s="166">
        <f t="shared" si="0"/>
        <v>8.8831587765255565E-5</v>
      </c>
      <c r="W5" s="166">
        <f t="shared" si="0"/>
        <v>1.9093537725711724E-4</v>
      </c>
      <c r="X5" s="166">
        <f t="shared" si="0"/>
        <v>3.914673822754415E-4</v>
      </c>
      <c r="Y5" s="166">
        <f t="shared" si="0"/>
        <v>7.6741050569949514E-4</v>
      </c>
      <c r="Z5" s="166">
        <f t="shared" si="0"/>
        <v>1.4415587989102337E-3</v>
      </c>
      <c r="AA5" s="166">
        <f t="shared" si="0"/>
        <v>2.6000835793446109E-3</v>
      </c>
      <c r="AB5" s="166">
        <f t="shared" si="0"/>
        <v>4.5113729695003702E-3</v>
      </c>
      <c r="AC5" s="166">
        <f t="shared" si="0"/>
        <v>7.5432684875496869E-3</v>
      </c>
      <c r="AD5" s="166">
        <f t="shared" si="0"/>
        <v>1.2174661082024163E-2</v>
      </c>
      <c r="AE5" s="166">
        <f t="shared" si="0"/>
        <v>1.8996707900406536E-2</v>
      </c>
      <c r="AF5" s="166">
        <f t="shared" si="0"/>
        <v>2.8699077794256456E-2</v>
      </c>
      <c r="AG5" s="166">
        <f t="shared" si="0"/>
        <v>4.2037906730461205E-2</v>
      </c>
      <c r="AH5" s="166">
        <f t="shared" si="0"/>
        <v>5.9784587579932921E-2</v>
      </c>
      <c r="AI5" s="166">
        <f t="shared" si="0"/>
        <v>8.2657859390041333E-2</v>
      </c>
      <c r="AJ5" s="166">
        <f t="shared" si="0"/>
        <v>0.11124531353544062</v>
      </c>
      <c r="AK5" s="166">
        <f t="shared" si="0"/>
        <v>0.14592360512256553</v>
      </c>
      <c r="AL5" s="166">
        <f t="shared" si="0"/>
        <v>0.18678853703460108</v>
      </c>
      <c r="AM5" s="166">
        <f t="shared" si="0"/>
        <v>0.23360616529002831</v>
      </c>
      <c r="AN5" s="166">
        <f t="shared" si="0"/>
        <v>0.28579394431919053</v>
      </c>
      <c r="AO5" s="166">
        <f t="shared" si="0"/>
        <v>0.34243695753032671</v>
      </c>
      <c r="AP5" s="166">
        <f t="shared" si="0"/>
        <v>0.40233917110690998</v>
      </c>
      <c r="AQ5" s="166">
        <f t="shared" si="0"/>
        <v>0.46410439356337352</v>
      </c>
      <c r="AR5" s="166">
        <f t="shared" si="0"/>
        <v>0.52623724475236944</v>
      </c>
      <c r="AS5" s="166">
        <f t="shared" si="0"/>
        <v>0.5872517540494393</v>
      </c>
      <c r="AT5" s="166">
        <f t="shared" si="0"/>
        <v>0.64577464847081845</v>
      </c>
      <c r="AU5" s="166">
        <f t="shared" si="0"/>
        <v>0.70063192603750635</v>
      </c>
      <c r="AV5" s="167">
        <f t="shared" si="0"/>
        <v>0.7509104902352961</v>
      </c>
      <c r="AW5" s="167">
        <f t="shared" si="0"/>
        <v>0.79599072462063669</v>
      </c>
      <c r="AX5" s="166">
        <f t="shared" si="0"/>
        <v>0.83555010107276007</v>
      </c>
      <c r="AY5" s="166">
        <f t="shared" si="0"/>
        <v>0.86954152282660147</v>
      </c>
      <c r="AZ5" s="166">
        <f t="shared" si="0"/>
        <v>0.8981526112871524</v>
      </c>
      <c r="BA5" s="166">
        <f t="shared" si="0"/>
        <v>0.92175334505607343</v>
      </c>
      <c r="BB5" s="166">
        <f t="shared" si="0"/>
        <v>0.94083941274497629</v>
      </c>
      <c r="BC5" s="166">
        <f t="shared" si="0"/>
        <v>0.95597761300424078</v>
      </c>
      <c r="BD5" s="166">
        <f t="shared" si="0"/>
        <v>0.96775799861375189</v>
      </c>
      <c r="BE5" s="166">
        <f t="shared" si="0"/>
        <v>0.97675560264514782</v>
      </c>
      <c r="BF5" s="166">
        <f t="shared" si="0"/>
        <v>0.98350282957799928</v>
      </c>
      <c r="BG5" s="166">
        <f t="shared" si="0"/>
        <v>0.98847216623983614</v>
      </c>
      <c r="BH5" s="166">
        <f t="shared" si="0"/>
        <v>0.99206787654370776</v>
      </c>
      <c r="BI5" s="166">
        <f t="shared" si="0"/>
        <v>0.99462480061122416</v>
      </c>
      <c r="BJ5" s="166">
        <f t="shared" si="0"/>
        <v>0.9964122219955438</v>
      </c>
      <c r="BK5" s="166">
        <f t="shared" si="0"/>
        <v>0.99764089645050702</v>
      </c>
      <c r="BL5" s="166">
        <f t="shared" si="0"/>
        <v>0.99847164219270479</v>
      </c>
      <c r="BM5" s="166">
        <f t="shared" si="0"/>
        <v>0.99902427614671796</v>
      </c>
      <c r="BN5" s="166">
        <f t="shared" si="0"/>
        <v>0.99938606746837533</v>
      </c>
      <c r="BO5" s="166">
        <f t="shared" si="0"/>
        <v>0.99961921955210864</v>
      </c>
      <c r="BP5" s="166">
        <f t="shared" si="0"/>
        <v>0.9997671600495206</v>
      </c>
      <c r="BQ5" s="166">
        <f t="shared" ref="BQ5:CZ5" si="1">BP5+BQ6</f>
        <v>0.9998596094861627</v>
      </c>
      <c r="BR5" s="166">
        <f t="shared" si="1"/>
        <v>0.99991651974965334</v>
      </c>
      <c r="BS5" s="166">
        <f t="shared" si="1"/>
        <v>0.99995103752625547</v>
      </c>
      <c r="BT5" s="166">
        <f t="shared" si="1"/>
        <v>0.99997167016874122</v>
      </c>
      <c r="BU5" s="166">
        <f t="shared" si="1"/>
        <v>0.99998382693154231</v>
      </c>
      <c r="BV5" s="166">
        <f t="shared" si="1"/>
        <v>0.99999088881789666</v>
      </c>
      <c r="BW5" s="166">
        <f t="shared" si="1"/>
        <v>0.9999949341050739</v>
      </c>
      <c r="BX5" s="166">
        <f t="shared" si="1"/>
        <v>0.99999721963876564</v>
      </c>
      <c r="BY5" s="166">
        <f t="shared" si="1"/>
        <v>0.99999849348508929</v>
      </c>
      <c r="BZ5" s="166">
        <f t="shared" si="1"/>
        <v>0.9999991939992271</v>
      </c>
      <c r="CA5" s="166">
        <f t="shared" si="1"/>
        <v>0.99999957415749696</v>
      </c>
      <c r="CB5" s="166">
        <f t="shared" si="1"/>
        <v>0.99999977778425519</v>
      </c>
      <c r="CC5" s="166">
        <f t="shared" si="1"/>
        <v>0.99999988545590668</v>
      </c>
      <c r="CD5" s="166">
        <f t="shared" si="1"/>
        <v>0.99999994166873196</v>
      </c>
      <c r="CE5" s="166">
        <f t="shared" si="1"/>
        <v>0.99999997064927748</v>
      </c>
      <c r="CF5" s="166">
        <f t="shared" si="1"/>
        <v>0.99999998540575386</v>
      </c>
      <c r="CG5" s="166">
        <f t="shared" si="1"/>
        <v>0.99999999282790764</v>
      </c>
      <c r="CH5" s="166">
        <f t="shared" si="1"/>
        <v>0.99999999651609506</v>
      </c>
      <c r="CI5" s="166">
        <f t="shared" si="1"/>
        <v>0.9999999983269966</v>
      </c>
      <c r="CJ5" s="166">
        <f t="shared" si="1"/>
        <v>0.99999999920568927</v>
      </c>
      <c r="CK5" s="166">
        <f t="shared" si="1"/>
        <v>0.99999999962709429</v>
      </c>
      <c r="CL5" s="166">
        <f t="shared" si="1"/>
        <v>0.99999999982686949</v>
      </c>
      <c r="CM5" s="166">
        <f t="shared" si="1"/>
        <v>0.99999999992050059</v>
      </c>
      <c r="CN5" s="166">
        <f t="shared" si="1"/>
        <v>0.99999999996389077</v>
      </c>
      <c r="CO5" s="166">
        <f t="shared" si="1"/>
        <v>0.99999999998377509</v>
      </c>
      <c r="CP5" s="166">
        <f t="shared" si="1"/>
        <v>0.99999999999278721</v>
      </c>
      <c r="CQ5" s="166">
        <f t="shared" si="1"/>
        <v>0.99999999999682743</v>
      </c>
      <c r="CR5" s="166">
        <f t="shared" si="1"/>
        <v>0.99999999999861922</v>
      </c>
      <c r="CS5" s="166">
        <f t="shared" si="1"/>
        <v>0.99999999999940536</v>
      </c>
      <c r="CT5" s="166">
        <f t="shared" si="1"/>
        <v>0.99999999999974665</v>
      </c>
      <c r="CU5" s="166">
        <f t="shared" si="1"/>
        <v>0.99999999999989331</v>
      </c>
      <c r="CV5" s="166">
        <f t="shared" si="1"/>
        <v>0.9999999999999557</v>
      </c>
      <c r="CW5" s="166">
        <f t="shared" si="1"/>
        <v>0.9999999999999819</v>
      </c>
      <c r="CX5" s="166">
        <f t="shared" si="1"/>
        <v>0.99999999999999278</v>
      </c>
      <c r="CY5" s="166">
        <f t="shared" si="1"/>
        <v>0.99999999999999734</v>
      </c>
      <c r="CZ5" s="166">
        <f t="shared" si="1"/>
        <v>0.99999999999999922</v>
      </c>
    </row>
    <row r="6" spans="1:104" x14ac:dyDescent="0.3">
      <c r="A6" s="12" t="s">
        <v>2</v>
      </c>
      <c r="B6" s="11"/>
      <c r="C6" s="164">
        <f>_xlfn.POISSON.DIST(C4,$B$4,0)</f>
        <v>1.2244579557937991E-18</v>
      </c>
      <c r="D6" s="164">
        <f t="shared" ref="D6:BO6" si="2">_xlfn.POISSON.DIST(D4,$B$4,0)</f>
        <v>5.0501584841435771E-17</v>
      </c>
      <c r="E6" s="164">
        <f t="shared" si="2"/>
        <v>1.0414445263019834E-15</v>
      </c>
      <c r="F6" s="164">
        <f t="shared" si="2"/>
        <v>1.4317790946822715E-14</v>
      </c>
      <c r="G6" s="164">
        <f t="shared" si="2"/>
        <v>1.4763086205237456E-13</v>
      </c>
      <c r="H6" s="164">
        <f t="shared" si="2"/>
        <v>1.217778441452314E-12</v>
      </c>
      <c r="I6" s="164">
        <f t="shared" si="2"/>
        <v>8.371015788125605E-12</v>
      </c>
      <c r="J6" s="164">
        <f t="shared" si="2"/>
        <v>4.9322064980752141E-11</v>
      </c>
      <c r="K6" s="164">
        <f t="shared" si="2"/>
        <v>2.5428011200734561E-10</v>
      </c>
      <c r="L6" s="164">
        <f t="shared" si="2"/>
        <v>1.1652819373182016E-9</v>
      </c>
      <c r="M6" s="164">
        <f t="shared" si="2"/>
        <v>4.8060927158186727E-9</v>
      </c>
      <c r="N6" s="164">
        <f t="shared" si="2"/>
        <v>1.8020240777878281E-8</v>
      </c>
      <c r="O6" s="164">
        <f t="shared" si="2"/>
        <v>6.1935617729257972E-8</v>
      </c>
      <c r="P6" s="164">
        <f t="shared" si="2"/>
        <v>1.9649805285179774E-7</v>
      </c>
      <c r="Q6" s="164">
        <f t="shared" si="2"/>
        <v>5.7888373267049597E-7</v>
      </c>
      <c r="R6" s="164">
        <f t="shared" si="2"/>
        <v>1.5917000008292738E-6</v>
      </c>
      <c r="S6" s="164">
        <f t="shared" si="2"/>
        <v>4.1030080010935142E-6</v>
      </c>
      <c r="T6" s="164">
        <f t="shared" si="2"/>
        <v>9.9543881817910002E-6</v>
      </c>
      <c r="U6" s="164">
        <f t="shared" si="2"/>
        <v>2.2808839931924606E-5</v>
      </c>
      <c r="V6" s="164">
        <f t="shared" si="2"/>
        <v>4.9512029276921568E-5</v>
      </c>
      <c r="W6" s="164">
        <f t="shared" si="2"/>
        <v>1.0210378949186168E-4</v>
      </c>
      <c r="X6" s="164">
        <f t="shared" si="2"/>
        <v>2.0053200501832428E-4</v>
      </c>
      <c r="Y6" s="164">
        <f t="shared" si="2"/>
        <v>3.7594312342405359E-4</v>
      </c>
      <c r="Z6" s="164">
        <f t="shared" si="2"/>
        <v>6.7414829321073852E-4</v>
      </c>
      <c r="AA6" s="164">
        <f t="shared" si="2"/>
        <v>1.158524780434377E-3</v>
      </c>
      <c r="AB6" s="164">
        <f t="shared" si="2"/>
        <v>1.9112893901557593E-3</v>
      </c>
      <c r="AC6" s="164">
        <f t="shared" si="2"/>
        <v>3.0318955180493163E-3</v>
      </c>
      <c r="AD6" s="164">
        <f t="shared" si="2"/>
        <v>4.6313925944744764E-3</v>
      </c>
      <c r="AE6" s="164">
        <f t="shared" si="2"/>
        <v>6.822046818382374E-3</v>
      </c>
      <c r="AF6" s="164">
        <f t="shared" si="2"/>
        <v>9.7023698938499183E-3</v>
      </c>
      <c r="AG6" s="164">
        <f t="shared" si="2"/>
        <v>1.3338828936204751E-2</v>
      </c>
      <c r="AH6" s="164">
        <f t="shared" si="2"/>
        <v>1.7746680849471719E-2</v>
      </c>
      <c r="AI6" s="164">
        <f t="shared" si="2"/>
        <v>2.2873271810108405E-2</v>
      </c>
      <c r="AJ6" s="164">
        <f t="shared" si="2"/>
        <v>2.8587454145399281E-2</v>
      </c>
      <c r="AK6" s="164">
        <f t="shared" si="2"/>
        <v>3.4678291587124897E-2</v>
      </c>
      <c r="AL6" s="164">
        <f t="shared" si="2"/>
        <v>4.0864931912035565E-2</v>
      </c>
      <c r="AM6" s="164">
        <f t="shared" si="2"/>
        <v>4.6817628255427235E-2</v>
      </c>
      <c r="AN6" s="164">
        <f t="shared" si="2"/>
        <v>5.2187779029162239E-2</v>
      </c>
      <c r="AO6" s="164">
        <f t="shared" si="2"/>
        <v>5.6643013211136163E-2</v>
      </c>
      <c r="AP6" s="164">
        <f t="shared" si="2"/>
        <v>5.9902213576583235E-2</v>
      </c>
      <c r="AQ6" s="164">
        <f t="shared" si="2"/>
        <v>6.1765222456463535E-2</v>
      </c>
      <c r="AR6" s="164">
        <f t="shared" si="2"/>
        <v>6.2132851188995877E-2</v>
      </c>
      <c r="AS6" s="164">
        <f t="shared" si="2"/>
        <v>6.1014509297069842E-2</v>
      </c>
      <c r="AT6" s="164">
        <f t="shared" si="2"/>
        <v>5.8522894421379132E-2</v>
      </c>
      <c r="AU6" s="164">
        <f t="shared" si="2"/>
        <v>5.4857277566687908E-2</v>
      </c>
      <c r="AV6" s="164">
        <f t="shared" si="2"/>
        <v>5.027856419778972E-2</v>
      </c>
      <c r="AW6" s="164">
        <f t="shared" si="2"/>
        <v>4.5080234385340541E-2</v>
      </c>
      <c r="AX6" s="164">
        <f t="shared" si="2"/>
        <v>3.9559376452123422E-2</v>
      </c>
      <c r="AY6" s="164">
        <f t="shared" si="2"/>
        <v>3.3991421753841379E-2</v>
      </c>
      <c r="AZ6" s="164">
        <f t="shared" si="2"/>
        <v>2.8611088460550892E-2</v>
      </c>
      <c r="BA6" s="164">
        <f t="shared" si="2"/>
        <v>2.3600733768921009E-2</v>
      </c>
      <c r="BB6" s="164">
        <f t="shared" si="2"/>
        <v>1.9086067688902916E-2</v>
      </c>
      <c r="BC6" s="164">
        <f t="shared" si="2"/>
        <v>1.5138200259264446E-2</v>
      </c>
      <c r="BD6" s="164">
        <f t="shared" si="2"/>
        <v>1.1780385609511139E-2</v>
      </c>
      <c r="BE6" s="164">
        <f t="shared" si="2"/>
        <v>8.9976040313959147E-3</v>
      </c>
      <c r="BF6" s="164">
        <f t="shared" si="2"/>
        <v>6.7472269328514179E-3</v>
      </c>
      <c r="BG6" s="164">
        <f t="shared" si="2"/>
        <v>4.9693366618368037E-3</v>
      </c>
      <c r="BH6" s="164">
        <f t="shared" si="2"/>
        <v>3.5957103038716607E-3</v>
      </c>
      <c r="BI6" s="164">
        <f t="shared" si="2"/>
        <v>2.5569240675163492E-3</v>
      </c>
      <c r="BJ6" s="164">
        <f t="shared" si="2"/>
        <v>1.7874213843196828E-3</v>
      </c>
      <c r="BK6" s="164">
        <f t="shared" si="2"/>
        <v>1.2286744549631847E-3</v>
      </c>
      <c r="BL6" s="164">
        <f t="shared" si="2"/>
        <v>8.3074574219776237E-4</v>
      </c>
      <c r="BM6" s="164">
        <f t="shared" si="2"/>
        <v>5.5263395401320445E-4</v>
      </c>
      <c r="BN6" s="164">
        <f t="shared" si="2"/>
        <v>3.6179132165741357E-4</v>
      </c>
      <c r="BO6" s="164">
        <f t="shared" si="2"/>
        <v>2.3315208373329938E-4</v>
      </c>
      <c r="BP6" s="164">
        <f t="shared" ref="BP6:CZ6" si="3">_xlfn.POISSON.DIST(BP4,$B$4,0)</f>
        <v>1.4794049741200877E-4</v>
      </c>
      <c r="BQ6" s="164">
        <f t="shared" si="3"/>
        <v>9.2449436642123793E-5</v>
      </c>
      <c r="BR6" s="164">
        <f t="shared" si="3"/>
        <v>5.6910263490602982E-5</v>
      </c>
      <c r="BS6" s="164">
        <f t="shared" si="3"/>
        <v>3.4517776602098467E-5</v>
      </c>
      <c r="BT6" s="164">
        <f t="shared" si="3"/>
        <v>2.0632642485732407E-5</v>
      </c>
      <c r="BU6" s="164">
        <f t="shared" si="3"/>
        <v>1.2156762801110246E-5</v>
      </c>
      <c r="BV6" s="164">
        <f t="shared" si="3"/>
        <v>7.0618863543878932E-6</v>
      </c>
      <c r="BW6" s="164">
        <f t="shared" si="3"/>
        <v>4.0452871771998867E-6</v>
      </c>
      <c r="BX6" s="164">
        <f t="shared" si="3"/>
        <v>2.2855336917967051E-6</v>
      </c>
      <c r="BY6" s="164">
        <f t="shared" si="3"/>
        <v>1.2738463236587062E-6</v>
      </c>
      <c r="BZ6" s="164">
        <f t="shared" si="3"/>
        <v>7.0051413781152029E-7</v>
      </c>
      <c r="CA6" s="164">
        <f t="shared" si="3"/>
        <v>3.8015826981708578E-7</v>
      </c>
      <c r="CB6" s="164">
        <f t="shared" si="3"/>
        <v>2.0362675821456414E-7</v>
      </c>
      <c r="CC6" s="164">
        <f t="shared" si="3"/>
        <v>1.0767165153281467E-7</v>
      </c>
      <c r="CD6" s="164">
        <f t="shared" si="3"/>
        <v>5.6212825233420736E-8</v>
      </c>
      <c r="CE6" s="164">
        <f t="shared" si="3"/>
        <v>2.8980545527000551E-8</v>
      </c>
      <c r="CF6" s="164">
        <f t="shared" si="3"/>
        <v>1.4756476395547114E-8</v>
      </c>
      <c r="CG6" s="164">
        <f t="shared" si="3"/>
        <v>7.4221537257858654E-9</v>
      </c>
      <c r="CH6" s="164">
        <f t="shared" si="3"/>
        <v>3.6881874248421238E-9</v>
      </c>
      <c r="CI6" s="164">
        <f t="shared" si="3"/>
        <v>1.8109014926569437E-9</v>
      </c>
      <c r="CJ6" s="164">
        <f t="shared" si="3"/>
        <v>8.7869272553636876E-10</v>
      </c>
      <c r="CK6" s="164">
        <f t="shared" si="3"/>
        <v>4.2140502478701253E-10</v>
      </c>
      <c r="CL6" s="164">
        <f t="shared" si="3"/>
        <v>1.9977520600775279E-10</v>
      </c>
      <c r="CM6" s="164">
        <f t="shared" si="3"/>
        <v>9.3631082632389874E-11</v>
      </c>
      <c r="CN6" s="164">
        <f t="shared" si="3"/>
        <v>4.3390151691855869E-11</v>
      </c>
      <c r="CO6" s="164">
        <f t="shared" si="3"/>
        <v>1.9884276290768658E-11</v>
      </c>
      <c r="CP6" s="164">
        <f t="shared" si="3"/>
        <v>9.0121731398630815E-12</v>
      </c>
      <c r="CQ6" s="164">
        <f t="shared" si="3"/>
        <v>4.040199675035254E-12</v>
      </c>
      <c r="CR6" s="164">
        <f t="shared" si="3"/>
        <v>1.7917648429236104E-12</v>
      </c>
      <c r="CS6" s="164">
        <f t="shared" si="3"/>
        <v>7.861660537189266E-13</v>
      </c>
      <c r="CT6" s="164">
        <f t="shared" si="3"/>
        <v>3.413121998701188E-13</v>
      </c>
      <c r="CU6" s="164">
        <f t="shared" si="3"/>
        <v>1.466363726632213E-13</v>
      </c>
      <c r="CV6" s="164">
        <f t="shared" si="3"/>
        <v>6.2349231481098877E-14</v>
      </c>
      <c r="CW6" s="164">
        <f t="shared" si="3"/>
        <v>2.6240140678309957E-14</v>
      </c>
      <c r="CX6" s="164">
        <f t="shared" si="3"/>
        <v>1.0931810493889653E-14</v>
      </c>
      <c r="CY6" s="164">
        <f t="shared" si="3"/>
        <v>4.5087195727334114E-15</v>
      </c>
      <c r="CZ6" s="164">
        <f t="shared" si="3"/>
        <v>1.8411661456154517E-15</v>
      </c>
    </row>
    <row r="7" spans="1:104" x14ac:dyDescent="0.3">
      <c r="C7" s="16">
        <f>C4</f>
        <v>0</v>
      </c>
      <c r="D7" s="16">
        <f t="shared" ref="D7:BO7" si="4">D4</f>
        <v>1</v>
      </c>
      <c r="E7" s="16">
        <f t="shared" si="4"/>
        <v>2</v>
      </c>
      <c r="F7" s="16">
        <f t="shared" si="4"/>
        <v>3</v>
      </c>
      <c r="G7" s="16">
        <f t="shared" si="4"/>
        <v>4</v>
      </c>
      <c r="H7" s="16">
        <f t="shared" si="4"/>
        <v>5</v>
      </c>
      <c r="I7" s="16">
        <f t="shared" si="4"/>
        <v>6</v>
      </c>
      <c r="J7" s="16">
        <f t="shared" si="4"/>
        <v>7</v>
      </c>
      <c r="K7" s="16">
        <f t="shared" si="4"/>
        <v>8</v>
      </c>
      <c r="L7" s="16">
        <f t="shared" si="4"/>
        <v>9</v>
      </c>
      <c r="M7" s="16">
        <f t="shared" si="4"/>
        <v>10</v>
      </c>
      <c r="N7" s="16">
        <f t="shared" si="4"/>
        <v>11</v>
      </c>
      <c r="O7" s="16">
        <f t="shared" si="4"/>
        <v>12</v>
      </c>
      <c r="P7" s="16">
        <f t="shared" si="4"/>
        <v>13</v>
      </c>
      <c r="Q7" s="16">
        <f t="shared" si="4"/>
        <v>14</v>
      </c>
      <c r="R7" s="16">
        <f t="shared" si="4"/>
        <v>15</v>
      </c>
      <c r="S7" s="16">
        <f t="shared" si="4"/>
        <v>16</v>
      </c>
      <c r="T7" s="16">
        <f t="shared" si="4"/>
        <v>17</v>
      </c>
      <c r="U7" s="16">
        <f t="shared" si="4"/>
        <v>18</v>
      </c>
      <c r="V7" s="16">
        <f t="shared" si="4"/>
        <v>19</v>
      </c>
      <c r="W7" s="16">
        <f t="shared" si="4"/>
        <v>20</v>
      </c>
      <c r="X7" s="16">
        <f t="shared" si="4"/>
        <v>21</v>
      </c>
      <c r="Y7" s="16">
        <f t="shared" si="4"/>
        <v>22</v>
      </c>
      <c r="Z7" s="16">
        <f t="shared" si="4"/>
        <v>23</v>
      </c>
      <c r="AA7" s="16">
        <f t="shared" si="4"/>
        <v>24</v>
      </c>
      <c r="AB7" s="16">
        <f t="shared" si="4"/>
        <v>25</v>
      </c>
      <c r="AC7" s="16">
        <f t="shared" si="4"/>
        <v>26</v>
      </c>
      <c r="AD7" s="16">
        <f t="shared" si="4"/>
        <v>27</v>
      </c>
      <c r="AE7" s="16">
        <f t="shared" si="4"/>
        <v>28</v>
      </c>
      <c r="AF7" s="16">
        <f t="shared" si="4"/>
        <v>29</v>
      </c>
      <c r="AG7" s="16">
        <f t="shared" si="4"/>
        <v>30</v>
      </c>
      <c r="AH7" s="16">
        <f t="shared" si="4"/>
        <v>31</v>
      </c>
      <c r="AI7" s="16">
        <f t="shared" si="4"/>
        <v>32</v>
      </c>
      <c r="AJ7" s="16">
        <f t="shared" si="4"/>
        <v>33</v>
      </c>
      <c r="AK7" s="16">
        <f t="shared" si="4"/>
        <v>34</v>
      </c>
      <c r="AL7" s="16">
        <f t="shared" si="4"/>
        <v>35</v>
      </c>
      <c r="AM7" s="16">
        <f t="shared" si="4"/>
        <v>36</v>
      </c>
      <c r="AN7" s="16">
        <f t="shared" si="4"/>
        <v>37</v>
      </c>
      <c r="AO7" s="16">
        <f t="shared" si="4"/>
        <v>38</v>
      </c>
      <c r="AP7" s="16">
        <f t="shared" si="4"/>
        <v>39</v>
      </c>
      <c r="AQ7" s="16">
        <f t="shared" si="4"/>
        <v>40</v>
      </c>
      <c r="AR7" s="16">
        <f t="shared" si="4"/>
        <v>41</v>
      </c>
      <c r="AS7" s="16">
        <f t="shared" si="4"/>
        <v>42</v>
      </c>
      <c r="AT7" s="16">
        <f t="shared" si="4"/>
        <v>43</v>
      </c>
      <c r="AU7" s="16">
        <f t="shared" si="4"/>
        <v>44</v>
      </c>
      <c r="AV7" s="16">
        <f t="shared" si="4"/>
        <v>45</v>
      </c>
      <c r="AW7" s="16">
        <f t="shared" si="4"/>
        <v>46</v>
      </c>
      <c r="AX7" s="16">
        <f t="shared" si="4"/>
        <v>47</v>
      </c>
      <c r="AY7" s="16">
        <f t="shared" si="4"/>
        <v>48</v>
      </c>
      <c r="AZ7" s="16">
        <f t="shared" si="4"/>
        <v>49</v>
      </c>
      <c r="BA7" s="16">
        <f t="shared" si="4"/>
        <v>50</v>
      </c>
      <c r="BB7" s="16">
        <f t="shared" si="4"/>
        <v>51</v>
      </c>
      <c r="BC7" s="16">
        <f t="shared" si="4"/>
        <v>52</v>
      </c>
      <c r="BD7" s="16">
        <f t="shared" si="4"/>
        <v>53</v>
      </c>
      <c r="BE7" s="16">
        <f t="shared" si="4"/>
        <v>54</v>
      </c>
      <c r="BF7" s="16">
        <f t="shared" si="4"/>
        <v>55</v>
      </c>
      <c r="BG7" s="16">
        <f t="shared" si="4"/>
        <v>56</v>
      </c>
      <c r="BH7" s="16">
        <f t="shared" si="4"/>
        <v>57</v>
      </c>
      <c r="BI7" s="16">
        <f t="shared" si="4"/>
        <v>58</v>
      </c>
      <c r="BJ7" s="16">
        <f t="shared" si="4"/>
        <v>59</v>
      </c>
      <c r="BK7" s="16">
        <f t="shared" si="4"/>
        <v>60</v>
      </c>
      <c r="BL7" s="16">
        <f t="shared" si="4"/>
        <v>61</v>
      </c>
      <c r="BM7" s="16">
        <f t="shared" si="4"/>
        <v>62</v>
      </c>
      <c r="BN7" s="16">
        <f t="shared" si="4"/>
        <v>63</v>
      </c>
      <c r="BO7" s="16">
        <f t="shared" si="4"/>
        <v>64</v>
      </c>
      <c r="BP7" s="16">
        <f t="shared" ref="BP7:CZ7" si="5">BP4</f>
        <v>65</v>
      </c>
      <c r="BQ7" s="16">
        <f t="shared" si="5"/>
        <v>66</v>
      </c>
      <c r="BR7" s="16">
        <f t="shared" si="5"/>
        <v>67</v>
      </c>
      <c r="BS7" s="16">
        <f t="shared" si="5"/>
        <v>68</v>
      </c>
      <c r="BT7" s="16">
        <f t="shared" si="5"/>
        <v>69</v>
      </c>
      <c r="BU7" s="16">
        <f t="shared" si="5"/>
        <v>70</v>
      </c>
      <c r="BV7" s="16">
        <f t="shared" si="5"/>
        <v>71</v>
      </c>
      <c r="BW7" s="16">
        <f t="shared" si="5"/>
        <v>72</v>
      </c>
      <c r="BX7" s="16">
        <f t="shared" si="5"/>
        <v>73</v>
      </c>
      <c r="BY7" s="16">
        <f t="shared" si="5"/>
        <v>74</v>
      </c>
      <c r="BZ7" s="16">
        <f t="shared" si="5"/>
        <v>75</v>
      </c>
      <c r="CA7" s="16">
        <f t="shared" si="5"/>
        <v>76</v>
      </c>
      <c r="CB7" s="16">
        <f t="shared" si="5"/>
        <v>77</v>
      </c>
      <c r="CC7" s="16">
        <f t="shared" si="5"/>
        <v>78</v>
      </c>
      <c r="CD7" s="16">
        <f t="shared" si="5"/>
        <v>79</v>
      </c>
      <c r="CE7" s="16">
        <f t="shared" si="5"/>
        <v>80</v>
      </c>
      <c r="CF7" s="16">
        <f t="shared" si="5"/>
        <v>81</v>
      </c>
      <c r="CG7" s="16">
        <f t="shared" si="5"/>
        <v>82</v>
      </c>
      <c r="CH7" s="16">
        <f t="shared" si="5"/>
        <v>83</v>
      </c>
      <c r="CI7" s="16">
        <f t="shared" si="5"/>
        <v>84</v>
      </c>
      <c r="CJ7" s="16">
        <f t="shared" si="5"/>
        <v>85</v>
      </c>
      <c r="CK7" s="16">
        <f t="shared" si="5"/>
        <v>86</v>
      </c>
      <c r="CL7" s="16">
        <f t="shared" si="5"/>
        <v>87</v>
      </c>
      <c r="CM7" s="16">
        <f t="shared" si="5"/>
        <v>88</v>
      </c>
      <c r="CN7" s="16">
        <f t="shared" si="5"/>
        <v>89</v>
      </c>
      <c r="CO7" s="16">
        <f t="shared" si="5"/>
        <v>90</v>
      </c>
      <c r="CP7" s="16">
        <f t="shared" si="5"/>
        <v>91</v>
      </c>
      <c r="CQ7" s="16">
        <f t="shared" si="5"/>
        <v>92</v>
      </c>
      <c r="CR7" s="16">
        <f t="shared" si="5"/>
        <v>93</v>
      </c>
      <c r="CS7" s="16">
        <f t="shared" si="5"/>
        <v>94</v>
      </c>
      <c r="CT7" s="16">
        <f t="shared" si="5"/>
        <v>95</v>
      </c>
      <c r="CU7" s="16">
        <f t="shared" si="5"/>
        <v>96</v>
      </c>
      <c r="CV7" s="16">
        <f t="shared" si="5"/>
        <v>97</v>
      </c>
      <c r="CW7" s="16">
        <f t="shared" si="5"/>
        <v>98</v>
      </c>
      <c r="CX7" s="16">
        <f t="shared" si="5"/>
        <v>99</v>
      </c>
      <c r="CY7" s="16">
        <f t="shared" si="5"/>
        <v>100</v>
      </c>
      <c r="CZ7" s="110">
        <f t="shared" si="5"/>
        <v>101</v>
      </c>
    </row>
    <row r="8" spans="1:104" x14ac:dyDescent="0.3">
      <c r="C8" s="210"/>
      <c r="D8" s="210"/>
      <c r="E8" s="210"/>
      <c r="F8" s="210"/>
      <c r="G8" s="210"/>
      <c r="H8" s="210"/>
      <c r="I8" s="210"/>
      <c r="J8" s="210"/>
      <c r="K8" s="210"/>
      <c r="L8" s="210"/>
      <c r="M8" s="210"/>
      <c r="N8" s="210"/>
      <c r="O8" s="210"/>
      <c r="P8" s="210"/>
      <c r="Q8" s="210"/>
      <c r="R8" s="210"/>
      <c r="S8" s="210"/>
      <c r="T8" s="210"/>
      <c r="U8" s="210"/>
      <c r="V8" s="210"/>
      <c r="W8" s="210"/>
      <c r="X8" s="210"/>
      <c r="Y8" s="210"/>
      <c r="Z8" s="210"/>
      <c r="AA8" s="210"/>
      <c r="AB8" s="210"/>
      <c r="AC8" s="210"/>
      <c r="AD8" s="210"/>
      <c r="AE8" s="210"/>
      <c r="AF8" s="210"/>
      <c r="AG8" s="210"/>
      <c r="AH8" s="210"/>
      <c r="AI8" s="210"/>
      <c r="AJ8" s="210"/>
      <c r="AK8" s="210"/>
      <c r="AL8" s="210"/>
      <c r="AM8" s="210"/>
      <c r="AN8" s="210"/>
      <c r="AO8" s="210"/>
      <c r="AP8" s="210"/>
      <c r="AQ8" s="210"/>
      <c r="AR8" s="210"/>
      <c r="AS8" s="210"/>
      <c r="AT8" s="210"/>
      <c r="AU8" s="210"/>
      <c r="AV8" s="210"/>
      <c r="AW8" s="210"/>
      <c r="AX8" s="210"/>
      <c r="AY8" s="210"/>
      <c r="AZ8" s="210"/>
      <c r="BA8" s="210"/>
      <c r="BB8" s="210"/>
      <c r="BC8" s="210"/>
      <c r="BD8" s="210"/>
      <c r="BE8" s="210"/>
      <c r="BF8" s="210"/>
      <c r="BG8" s="210"/>
      <c r="BH8" s="210"/>
      <c r="BI8" s="210"/>
      <c r="BJ8" s="210"/>
      <c r="BK8" s="210"/>
      <c r="BL8" s="210"/>
      <c r="BM8" s="210"/>
      <c r="BN8" s="210"/>
      <c r="BO8" s="210"/>
      <c r="BP8" s="210"/>
      <c r="BQ8" s="210"/>
      <c r="BR8" s="210"/>
      <c r="BS8" s="210"/>
      <c r="BT8" s="210"/>
      <c r="BU8" s="210"/>
      <c r="BV8" s="210"/>
      <c r="BW8" s="210"/>
      <c r="BX8" s="210"/>
      <c r="BY8" s="210"/>
      <c r="BZ8" s="210"/>
      <c r="CA8" s="210"/>
      <c r="CB8" s="210"/>
      <c r="CC8" s="210"/>
      <c r="CD8" s="210"/>
      <c r="CE8" s="210"/>
      <c r="CF8" s="210"/>
      <c r="CG8" s="210"/>
      <c r="CH8" s="210"/>
      <c r="CI8" s="210"/>
      <c r="CJ8" s="210"/>
      <c r="CK8" s="210"/>
      <c r="CL8" s="210"/>
      <c r="CM8" s="210"/>
      <c r="CN8" s="210"/>
      <c r="CO8" s="210"/>
      <c r="CP8" s="210"/>
      <c r="CQ8" s="210"/>
      <c r="CR8" s="210"/>
      <c r="CS8" s="210"/>
      <c r="CT8" s="210"/>
      <c r="CU8" s="210"/>
      <c r="CV8" s="210"/>
      <c r="CW8" s="210"/>
      <c r="CX8" s="210"/>
      <c r="CY8" s="210"/>
      <c r="CZ8" s="210"/>
    </row>
    <row r="9" spans="1:104" x14ac:dyDescent="0.3">
      <c r="CZ9" s="8"/>
    </row>
    <row r="10" spans="1:104" x14ac:dyDescent="0.3">
      <c r="D10" s="109" t="s">
        <v>98</v>
      </c>
      <c r="E10" s="109" t="s">
        <v>99</v>
      </c>
      <c r="CZ10" s="8"/>
    </row>
    <row r="11" spans="1:104" x14ac:dyDescent="0.3">
      <c r="D11" s="15">
        <v>0</v>
      </c>
      <c r="E11" s="109">
        <v>0.7</v>
      </c>
      <c r="F11" s="111">
        <f>E11</f>
        <v>0.7</v>
      </c>
      <c r="CZ11" s="8"/>
    </row>
    <row r="12" spans="1:104" x14ac:dyDescent="0.3">
      <c r="D12" s="15">
        <v>1</v>
      </c>
      <c r="E12" s="109">
        <v>0.2</v>
      </c>
      <c r="F12" s="111">
        <f>F11+E12</f>
        <v>0.89999999999999991</v>
      </c>
      <c r="CZ12" s="8"/>
    </row>
    <row r="13" spans="1:104" x14ac:dyDescent="0.3">
      <c r="A13" s="12" t="s">
        <v>6</v>
      </c>
      <c r="D13" s="15">
        <v>2</v>
      </c>
      <c r="E13" s="109">
        <v>0.1</v>
      </c>
      <c r="F13" s="111">
        <f>F12+E13</f>
        <v>0.99999999999999989</v>
      </c>
    </row>
    <row r="14" spans="1:104" x14ac:dyDescent="0.3">
      <c r="A14" s="12" t="s">
        <v>4</v>
      </c>
      <c r="B14" s="125">
        <f ca="1">RAND()</f>
        <v>0.85096149205175065</v>
      </c>
      <c r="D14" s="111" t="s">
        <v>100</v>
      </c>
      <c r="E14" s="111" t="s">
        <v>101</v>
      </c>
    </row>
    <row r="15" spans="1:104" x14ac:dyDescent="0.3">
      <c r="A15" s="12" t="s">
        <v>7</v>
      </c>
      <c r="B15" s="120">
        <f ca="1">HLOOKUP(B14,C5:CZ7,3)+1</f>
        <v>48</v>
      </c>
      <c r="D15" s="163">
        <v>0.65912471801792449</v>
      </c>
      <c r="E15" s="111">
        <v>0</v>
      </c>
    </row>
    <row r="16" spans="1:104" x14ac:dyDescent="0.3">
      <c r="A16" s="17"/>
      <c r="D16" s="163">
        <v>0.57961296105775773</v>
      </c>
      <c r="E16" s="111">
        <v>0</v>
      </c>
    </row>
    <row r="17" spans="1:12" x14ac:dyDescent="0.3">
      <c r="D17" s="163">
        <v>0.2555846036008661</v>
      </c>
      <c r="E17" s="111">
        <v>0</v>
      </c>
    </row>
    <row r="18" spans="1:12" x14ac:dyDescent="0.3">
      <c r="D18" s="163">
        <v>0.51295871942831639</v>
      </c>
      <c r="E18" s="111">
        <v>0</v>
      </c>
    </row>
    <row r="19" spans="1:12" ht="15.6" x14ac:dyDescent="0.3">
      <c r="A19" s="5" t="s">
        <v>60</v>
      </c>
      <c r="B19" s="126">
        <f>'SINGOLO SINISTRO'!H2</f>
        <v>2705.6966546112117</v>
      </c>
      <c r="D19" s="163">
        <v>0.55624975317377678</v>
      </c>
      <c r="E19" s="111">
        <v>0</v>
      </c>
      <c r="K19" s="112"/>
      <c r="L19" s="112"/>
    </row>
    <row r="20" spans="1:12" ht="15.6" x14ac:dyDescent="0.3">
      <c r="A20" s="5" t="s">
        <v>61</v>
      </c>
      <c r="B20" s="127">
        <f>'SINGOLO SINISTRO'!H3</f>
        <v>43464634.840395682</v>
      </c>
      <c r="D20" s="163">
        <v>0.62478823346896883</v>
      </c>
      <c r="E20" s="111">
        <v>0</v>
      </c>
      <c r="K20" s="112"/>
      <c r="L20" s="112"/>
    </row>
    <row r="21" spans="1:12" ht="15.6" x14ac:dyDescent="0.3">
      <c r="A21" s="5" t="s">
        <v>62</v>
      </c>
      <c r="B21" s="128">
        <f>SQRT(B20)</f>
        <v>6592.7714081708973</v>
      </c>
      <c r="D21" s="163">
        <v>0.83199999999999996</v>
      </c>
      <c r="E21" s="111">
        <v>1</v>
      </c>
      <c r="K21" s="112"/>
      <c r="L21" s="112"/>
    </row>
    <row r="22" spans="1:12" ht="15.6" x14ac:dyDescent="0.3">
      <c r="A22" s="5"/>
      <c r="B22" s="4"/>
      <c r="D22" s="163">
        <v>0.93100000000000005</v>
      </c>
      <c r="E22" s="111">
        <v>2</v>
      </c>
      <c r="I22" s="112"/>
      <c r="J22" s="112"/>
      <c r="K22" s="112"/>
      <c r="L22" s="112"/>
    </row>
    <row r="23" spans="1:12" ht="15.6" x14ac:dyDescent="0.3">
      <c r="A23" s="3"/>
      <c r="B23" s="9" t="s">
        <v>57</v>
      </c>
      <c r="C23" s="113" t="s">
        <v>58</v>
      </c>
      <c r="E23" s="112"/>
      <c r="F23" s="112"/>
      <c r="G23" s="112"/>
      <c r="H23" s="112"/>
      <c r="I23" s="112"/>
      <c r="J23" s="112"/>
      <c r="K23" s="112"/>
      <c r="L23" s="112"/>
    </row>
    <row r="24" spans="1:12" ht="15.6" x14ac:dyDescent="0.3">
      <c r="A24" s="5" t="s">
        <v>5</v>
      </c>
      <c r="B24" s="129">
        <f>'SINGOLO SINISTRO'!G6</f>
        <v>6.9346693802480042</v>
      </c>
      <c r="C24" s="129">
        <f>'SINGOLO SINISTRO'!H6</f>
        <v>1.3917221857600348</v>
      </c>
      <c r="F24" s="112"/>
      <c r="G24" s="112"/>
      <c r="H24" s="112"/>
      <c r="I24" s="112"/>
      <c r="J24" s="112"/>
      <c r="K24" s="112"/>
      <c r="L24" s="112"/>
    </row>
    <row r="25" spans="1:12" ht="15.6" x14ac:dyDescent="0.3">
      <c r="A25" s="3"/>
      <c r="B25" s="3"/>
      <c r="C25" s="112"/>
      <c r="D25" s="112"/>
      <c r="E25" s="112"/>
      <c r="F25" s="112"/>
      <c r="G25" s="112"/>
      <c r="H25" s="112" t="s">
        <v>105</v>
      </c>
      <c r="I25" s="112" t="s">
        <v>106</v>
      </c>
      <c r="J25" s="112"/>
      <c r="K25" s="112"/>
      <c r="L25" s="112"/>
    </row>
    <row r="26" spans="1:12" ht="15.6" x14ac:dyDescent="0.3">
      <c r="A26" s="3"/>
      <c r="D26" s="112"/>
      <c r="E26" s="114" t="s">
        <v>9</v>
      </c>
      <c r="F26" s="112"/>
      <c r="G26" s="115" t="s">
        <v>8</v>
      </c>
      <c r="H26" s="131">
        <f ca="1">SUM(E27:E126)</f>
        <v>85825.438064868184</v>
      </c>
      <c r="I26" s="119">
        <f ca="1">+'BIN.NEG.-LOGNORM'!H30</f>
        <v>85825.438064868184</v>
      </c>
      <c r="J26" s="112"/>
      <c r="K26" s="112"/>
      <c r="L26" s="112"/>
    </row>
    <row r="27" spans="1:12" ht="15.6" x14ac:dyDescent="0.3">
      <c r="A27" s="1" t="str">
        <f>+A14</f>
        <v>NUM.CASUALE [0,1]</v>
      </c>
      <c r="B27" s="130">
        <f ca="1">RAND()</f>
        <v>0.19985177210088767</v>
      </c>
      <c r="C27" s="2">
        <v>1</v>
      </c>
      <c r="D27" s="128">
        <f ca="1">_xlfn.LOGNORM.INV(B27,$B$24,$C$24)</f>
        <v>318.18386759406587</v>
      </c>
      <c r="E27" s="4">
        <f ca="1">IF(C27&lt;=$B$15,D27,0)</f>
        <v>318.18386759406587</v>
      </c>
      <c r="F27" s="112"/>
      <c r="G27" s="112"/>
      <c r="H27" s="112"/>
      <c r="I27" s="112"/>
      <c r="J27" s="112"/>
      <c r="K27" s="112"/>
      <c r="L27" s="112"/>
    </row>
    <row r="28" spans="1:12" ht="15.6" x14ac:dyDescent="0.3">
      <c r="A28" s="1" t="str">
        <f>+A27</f>
        <v>NUM.CASUALE [0,1]</v>
      </c>
      <c r="B28" s="130">
        <f t="shared" ref="B28:B91" ca="1" si="6">RAND()</f>
        <v>0.89514406174677918</v>
      </c>
      <c r="C28" s="15">
        <f t="shared" ref="C28:C36" si="7">+C27+1</f>
        <v>2</v>
      </c>
      <c r="D28" s="128">
        <f t="shared" ref="D28:D91" ca="1" si="8">_xlfn.LOGNORM.INV(B28,$B$24,$C$24)</f>
        <v>5886.3263394409087</v>
      </c>
      <c r="E28" s="4">
        <f t="shared" ref="E28:E91" ca="1" si="9">IF(C28&lt;=$B$15,D28,0)</f>
        <v>5886.3263394409087</v>
      </c>
      <c r="F28" s="112"/>
      <c r="G28" s="168" t="s">
        <v>102</v>
      </c>
      <c r="H28" s="169">
        <f>B4*B19</f>
        <v>111593.84322792361</v>
      </c>
    </row>
    <row r="29" spans="1:12" ht="15.6" x14ac:dyDescent="0.3">
      <c r="A29" s="1" t="str">
        <f t="shared" ref="A29:A36" si="10">+A28</f>
        <v>NUM.CASUALE [0,1]</v>
      </c>
      <c r="B29" s="130">
        <f t="shared" ca="1" si="6"/>
        <v>0.65852222746130706</v>
      </c>
      <c r="C29" s="15">
        <f t="shared" si="7"/>
        <v>3</v>
      </c>
      <c r="D29" s="128">
        <f t="shared" ca="1" si="8"/>
        <v>1813.6472469071814</v>
      </c>
      <c r="E29" s="4">
        <f t="shared" ca="1" si="9"/>
        <v>1813.6472469071814</v>
      </c>
      <c r="F29" s="112"/>
      <c r="G29" s="168" t="s">
        <v>103</v>
      </c>
      <c r="H29" s="169">
        <f>B4*B20+B4*B19^2</f>
        <v>2094595939.9332485</v>
      </c>
    </row>
    <row r="30" spans="1:12" ht="15.6" x14ac:dyDescent="0.3">
      <c r="A30" s="1" t="str">
        <f t="shared" si="10"/>
        <v>NUM.CASUALE [0,1]</v>
      </c>
      <c r="B30" s="130">
        <f t="shared" ca="1" si="6"/>
        <v>0.95055281573049188</v>
      </c>
      <c r="C30" s="15">
        <f t="shared" si="7"/>
        <v>4</v>
      </c>
      <c r="D30" s="128">
        <f t="shared" ca="1" si="8"/>
        <v>10212.23233197722</v>
      </c>
      <c r="E30" s="4">
        <f t="shared" ca="1" si="9"/>
        <v>10212.23233197722</v>
      </c>
      <c r="F30" s="112"/>
      <c r="G30" s="168" t="s">
        <v>104</v>
      </c>
      <c r="H30" s="168">
        <f>SQRT(H29)</f>
        <v>45766.755837979697</v>
      </c>
    </row>
    <row r="31" spans="1:12" ht="15.6" x14ac:dyDescent="0.3">
      <c r="A31" s="1" t="str">
        <f t="shared" si="10"/>
        <v>NUM.CASUALE [0,1]</v>
      </c>
      <c r="B31" s="130">
        <f t="shared" ca="1" si="6"/>
        <v>0.48685584046199193</v>
      </c>
      <c r="C31" s="15">
        <f t="shared" si="7"/>
        <v>5</v>
      </c>
      <c r="D31" s="128">
        <f t="shared" ca="1" si="8"/>
        <v>981.23038964641421</v>
      </c>
      <c r="E31" s="4">
        <f t="shared" ca="1" si="9"/>
        <v>981.23038964641421</v>
      </c>
      <c r="F31" s="112"/>
    </row>
    <row r="32" spans="1:12" ht="15.6" x14ac:dyDescent="0.3">
      <c r="A32" s="1" t="str">
        <f t="shared" si="10"/>
        <v>NUM.CASUALE [0,1]</v>
      </c>
      <c r="B32" s="130">
        <f t="shared" ca="1" si="6"/>
        <v>0.23225273839680383</v>
      </c>
      <c r="C32" s="15">
        <f t="shared" si="7"/>
        <v>6</v>
      </c>
      <c r="D32" s="128">
        <f t="shared" ca="1" si="8"/>
        <v>371.18358979008707</v>
      </c>
      <c r="E32" s="4">
        <f t="shared" ca="1" si="9"/>
        <v>371.18358979008707</v>
      </c>
      <c r="F32" s="112"/>
    </row>
    <row r="33" spans="1:6" ht="15.6" x14ac:dyDescent="0.3">
      <c r="A33" s="1" t="str">
        <f t="shared" si="10"/>
        <v>NUM.CASUALE [0,1]</v>
      </c>
      <c r="B33" s="130">
        <f t="shared" ca="1" si="6"/>
        <v>0.44852311875292405</v>
      </c>
      <c r="C33" s="15">
        <f t="shared" si="7"/>
        <v>7</v>
      </c>
      <c r="D33" s="128">
        <f t="shared" ca="1" si="8"/>
        <v>857.98745833032206</v>
      </c>
      <c r="E33" s="4">
        <f t="shared" ca="1" si="9"/>
        <v>857.98745833032206</v>
      </c>
      <c r="F33" s="112"/>
    </row>
    <row r="34" spans="1:6" ht="15.6" x14ac:dyDescent="0.3">
      <c r="A34" s="1" t="str">
        <f t="shared" si="10"/>
        <v>NUM.CASUALE [0,1]</v>
      </c>
      <c r="B34" s="130">
        <f t="shared" ca="1" si="6"/>
        <v>0.23698364522352189</v>
      </c>
      <c r="C34" s="15">
        <f t="shared" si="7"/>
        <v>8</v>
      </c>
      <c r="D34" s="128">
        <f t="shared" ca="1" si="8"/>
        <v>379.22969205498498</v>
      </c>
      <c r="E34" s="4">
        <f t="shared" ca="1" si="9"/>
        <v>379.22969205498498</v>
      </c>
      <c r="F34" s="112"/>
    </row>
    <row r="35" spans="1:6" ht="15.6" x14ac:dyDescent="0.3">
      <c r="A35" s="1" t="str">
        <f t="shared" si="10"/>
        <v>NUM.CASUALE [0,1]</v>
      </c>
      <c r="B35" s="130">
        <f t="shared" ca="1" si="6"/>
        <v>0.62565033320455798</v>
      </c>
      <c r="C35" s="15">
        <f t="shared" si="7"/>
        <v>9</v>
      </c>
      <c r="D35" s="128">
        <f t="shared" ca="1" si="8"/>
        <v>1604.4148000561981</v>
      </c>
      <c r="E35" s="4">
        <f t="shared" ca="1" si="9"/>
        <v>1604.4148000561981</v>
      </c>
      <c r="F35" s="112"/>
    </row>
    <row r="36" spans="1:6" ht="15.6" x14ac:dyDescent="0.3">
      <c r="A36" s="1" t="str">
        <f t="shared" si="10"/>
        <v>NUM.CASUALE [0,1]</v>
      </c>
      <c r="B36" s="130">
        <f t="shared" ca="1" si="6"/>
        <v>0.6972710863218915</v>
      </c>
      <c r="C36" s="15">
        <f t="shared" si="7"/>
        <v>10</v>
      </c>
      <c r="D36" s="128">
        <f t="shared" ca="1" si="8"/>
        <v>2108.1970648080905</v>
      </c>
      <c r="E36" s="4">
        <f t="shared" ca="1" si="9"/>
        <v>2108.1970648080905</v>
      </c>
      <c r="F36" s="112"/>
    </row>
    <row r="37" spans="1:6" ht="15.6" x14ac:dyDescent="0.3">
      <c r="A37" s="1" t="str">
        <f t="shared" ref="A37:A100" si="11">+A36</f>
        <v>NUM.CASUALE [0,1]</v>
      </c>
      <c r="B37" s="130">
        <f t="shared" ca="1" si="6"/>
        <v>8.9046152758876285E-2</v>
      </c>
      <c r="C37" s="15">
        <f t="shared" ref="C37:C100" si="12">+C36+1</f>
        <v>11</v>
      </c>
      <c r="D37" s="128">
        <f t="shared" ca="1" si="8"/>
        <v>157.66992632502922</v>
      </c>
      <c r="E37" s="4">
        <f t="shared" ca="1" si="9"/>
        <v>157.66992632502922</v>
      </c>
    </row>
    <row r="38" spans="1:6" ht="15.6" x14ac:dyDescent="0.3">
      <c r="A38" s="1" t="str">
        <f t="shared" si="11"/>
        <v>NUM.CASUALE [0,1]</v>
      </c>
      <c r="B38" s="130">
        <f t="shared" ca="1" si="6"/>
        <v>0.2471543951071018</v>
      </c>
      <c r="C38" s="15">
        <f t="shared" si="12"/>
        <v>12</v>
      </c>
      <c r="D38" s="128">
        <f t="shared" ca="1" si="8"/>
        <v>396.81356918615273</v>
      </c>
      <c r="E38" s="4">
        <f t="shared" ca="1" si="9"/>
        <v>396.81356918615273</v>
      </c>
    </row>
    <row r="39" spans="1:6" ht="15.6" x14ac:dyDescent="0.3">
      <c r="A39" s="1" t="str">
        <f t="shared" si="11"/>
        <v>NUM.CASUALE [0,1]</v>
      </c>
      <c r="B39" s="130">
        <f t="shared" ca="1" si="6"/>
        <v>0.25515594288489651</v>
      </c>
      <c r="C39" s="15">
        <f t="shared" si="12"/>
        <v>13</v>
      </c>
      <c r="D39" s="128">
        <f t="shared" ca="1" si="8"/>
        <v>410.93132598874058</v>
      </c>
      <c r="E39" s="4">
        <f t="shared" ca="1" si="9"/>
        <v>410.93132598874058</v>
      </c>
    </row>
    <row r="40" spans="1:6" ht="15.6" x14ac:dyDescent="0.3">
      <c r="A40" s="1" t="str">
        <f t="shared" si="11"/>
        <v>NUM.CASUALE [0,1]</v>
      </c>
      <c r="B40" s="130">
        <f t="shared" ca="1" si="6"/>
        <v>0.33108759492265727</v>
      </c>
      <c r="C40" s="15">
        <f t="shared" si="12"/>
        <v>14</v>
      </c>
      <c r="D40" s="128">
        <f t="shared" ca="1" si="8"/>
        <v>559.25710052774093</v>
      </c>
      <c r="E40" s="4">
        <f t="shared" ca="1" si="9"/>
        <v>559.25710052774093</v>
      </c>
    </row>
    <row r="41" spans="1:6" ht="15.6" x14ac:dyDescent="0.3">
      <c r="A41" s="1" t="str">
        <f t="shared" si="11"/>
        <v>NUM.CASUALE [0,1]</v>
      </c>
      <c r="B41" s="130">
        <f t="shared" ca="1" si="6"/>
        <v>0.82000394645307062</v>
      </c>
      <c r="C41" s="15">
        <f t="shared" si="12"/>
        <v>15</v>
      </c>
      <c r="D41" s="128">
        <f t="shared" ca="1" si="8"/>
        <v>3672.4864280724141</v>
      </c>
      <c r="E41" s="4">
        <f t="shared" ca="1" si="9"/>
        <v>3672.4864280724141</v>
      </c>
    </row>
    <row r="42" spans="1:6" ht="15.6" x14ac:dyDescent="0.3">
      <c r="A42" s="1" t="str">
        <f t="shared" si="11"/>
        <v>NUM.CASUALE [0,1]</v>
      </c>
      <c r="B42" s="130">
        <f t="shared" ca="1" si="6"/>
        <v>0.26841040763622515</v>
      </c>
      <c r="C42" s="15">
        <f t="shared" si="12"/>
        <v>16</v>
      </c>
      <c r="D42" s="128">
        <f t="shared" ca="1" si="8"/>
        <v>434.89441620620363</v>
      </c>
      <c r="E42" s="4">
        <f t="shared" ca="1" si="9"/>
        <v>434.89441620620363</v>
      </c>
    </row>
    <row r="43" spans="1:6" ht="15.6" x14ac:dyDescent="0.3">
      <c r="A43" s="1" t="str">
        <f t="shared" si="11"/>
        <v>NUM.CASUALE [0,1]</v>
      </c>
      <c r="B43" s="130">
        <f t="shared" ca="1" si="6"/>
        <v>0.21122556874663501</v>
      </c>
      <c r="C43" s="15">
        <f t="shared" si="12"/>
        <v>17</v>
      </c>
      <c r="D43" s="128">
        <f t="shared" ca="1" si="8"/>
        <v>336.38730738554227</v>
      </c>
      <c r="E43" s="4">
        <f t="shared" ca="1" si="9"/>
        <v>336.38730738554227</v>
      </c>
    </row>
    <row r="44" spans="1:6" ht="15.6" x14ac:dyDescent="0.3">
      <c r="A44" s="1" t="str">
        <f t="shared" si="11"/>
        <v>NUM.CASUALE [0,1]</v>
      </c>
      <c r="B44" s="130">
        <f t="shared" ca="1" si="6"/>
        <v>0.52845307849771717</v>
      </c>
      <c r="C44" s="15">
        <f t="shared" si="12"/>
        <v>18</v>
      </c>
      <c r="D44" s="128">
        <f t="shared" ca="1" si="8"/>
        <v>1134.5746527710221</v>
      </c>
      <c r="E44" s="4">
        <f t="shared" ca="1" si="9"/>
        <v>1134.5746527710221</v>
      </c>
    </row>
    <row r="45" spans="1:6" ht="15.6" x14ac:dyDescent="0.3">
      <c r="A45" s="1" t="str">
        <f t="shared" si="11"/>
        <v>NUM.CASUALE [0,1]</v>
      </c>
      <c r="B45" s="130">
        <f t="shared" ca="1" si="6"/>
        <v>0.45660455680908441</v>
      </c>
      <c r="C45" s="15">
        <f t="shared" si="12"/>
        <v>19</v>
      </c>
      <c r="D45" s="128">
        <f t="shared" ca="1" si="8"/>
        <v>882.69813888399119</v>
      </c>
      <c r="E45" s="4">
        <f t="shared" ca="1" si="9"/>
        <v>882.69813888399119</v>
      </c>
    </row>
    <row r="46" spans="1:6" ht="15.6" x14ac:dyDescent="0.3">
      <c r="A46" s="1" t="str">
        <f t="shared" si="11"/>
        <v>NUM.CASUALE [0,1]</v>
      </c>
      <c r="B46" s="130">
        <f t="shared" ca="1" si="6"/>
        <v>0.14677550482437318</v>
      </c>
      <c r="C46" s="15">
        <f t="shared" si="12"/>
        <v>20</v>
      </c>
      <c r="D46" s="128">
        <f t="shared" ca="1" si="8"/>
        <v>238.13914884663382</v>
      </c>
      <c r="E46" s="4">
        <f t="shared" ca="1" si="9"/>
        <v>238.13914884663382</v>
      </c>
    </row>
    <row r="47" spans="1:6" ht="15.6" x14ac:dyDescent="0.3">
      <c r="A47" s="1" t="str">
        <f t="shared" si="11"/>
        <v>NUM.CASUALE [0,1]</v>
      </c>
      <c r="B47" s="130">
        <f t="shared" ca="1" si="6"/>
        <v>0.4262345998344107</v>
      </c>
      <c r="C47" s="15">
        <f t="shared" si="12"/>
        <v>21</v>
      </c>
      <c r="D47" s="128">
        <f t="shared" ca="1" si="8"/>
        <v>793.02315804367595</v>
      </c>
      <c r="E47" s="4">
        <f t="shared" ca="1" si="9"/>
        <v>793.02315804367595</v>
      </c>
    </row>
    <row r="48" spans="1:6" ht="15.6" x14ac:dyDescent="0.3">
      <c r="A48" s="1" t="str">
        <f t="shared" si="11"/>
        <v>NUM.CASUALE [0,1]</v>
      </c>
      <c r="B48" s="130">
        <f t="shared" ca="1" si="6"/>
        <v>0.25111465140476263</v>
      </c>
      <c r="C48" s="15">
        <f t="shared" si="12"/>
        <v>22</v>
      </c>
      <c r="D48" s="128">
        <f t="shared" ca="1" si="8"/>
        <v>403.76901121678208</v>
      </c>
      <c r="E48" s="4">
        <f t="shared" ca="1" si="9"/>
        <v>403.76901121678208</v>
      </c>
    </row>
    <row r="49" spans="1:5" ht="15.6" x14ac:dyDescent="0.3">
      <c r="A49" s="1" t="str">
        <f t="shared" si="11"/>
        <v>NUM.CASUALE [0,1]</v>
      </c>
      <c r="B49" s="130">
        <f t="shared" ca="1" si="6"/>
        <v>0.90443338133318918</v>
      </c>
      <c r="C49" s="15">
        <f t="shared" si="12"/>
        <v>23</v>
      </c>
      <c r="D49" s="128">
        <f t="shared" ca="1" si="8"/>
        <v>6335.8293421302997</v>
      </c>
      <c r="E49" s="4">
        <f t="shared" ca="1" si="9"/>
        <v>6335.8293421302997</v>
      </c>
    </row>
    <row r="50" spans="1:5" ht="15.6" x14ac:dyDescent="0.3">
      <c r="A50" s="1" t="str">
        <f t="shared" si="11"/>
        <v>NUM.CASUALE [0,1]</v>
      </c>
      <c r="B50" s="130">
        <f t="shared" ca="1" si="6"/>
        <v>0.3378361135427066</v>
      </c>
      <c r="C50" s="15">
        <f t="shared" si="12"/>
        <v>24</v>
      </c>
      <c r="D50" s="128">
        <f t="shared" ca="1" si="8"/>
        <v>573.87190623841479</v>
      </c>
      <c r="E50" s="4">
        <f t="shared" ca="1" si="9"/>
        <v>573.87190623841479</v>
      </c>
    </row>
    <row r="51" spans="1:5" ht="15.6" x14ac:dyDescent="0.3">
      <c r="A51" s="1" t="str">
        <f t="shared" si="11"/>
        <v>NUM.CASUALE [0,1]</v>
      </c>
      <c r="B51" s="130">
        <f t="shared" ca="1" si="6"/>
        <v>5.8897399260186001E-2</v>
      </c>
      <c r="C51" s="15">
        <f t="shared" si="12"/>
        <v>25</v>
      </c>
      <c r="D51" s="128">
        <f t="shared" ca="1" si="8"/>
        <v>116.49879536826853</v>
      </c>
      <c r="E51" s="4">
        <f t="shared" ca="1" si="9"/>
        <v>116.49879536826853</v>
      </c>
    </row>
    <row r="52" spans="1:5" ht="15.6" x14ac:dyDescent="0.3">
      <c r="A52" s="1" t="str">
        <f t="shared" si="11"/>
        <v>NUM.CASUALE [0,1]</v>
      </c>
      <c r="B52" s="130">
        <f t="shared" ca="1" si="6"/>
        <v>0.96275598041863231</v>
      </c>
      <c r="C52" s="15">
        <f t="shared" si="12"/>
        <v>26</v>
      </c>
      <c r="D52" s="128">
        <f t="shared" ca="1" si="8"/>
        <v>12295.032569060646</v>
      </c>
      <c r="E52" s="4">
        <f t="shared" ca="1" si="9"/>
        <v>12295.032569060646</v>
      </c>
    </row>
    <row r="53" spans="1:5" ht="15.6" x14ac:dyDescent="0.3">
      <c r="A53" s="1" t="str">
        <f t="shared" si="11"/>
        <v>NUM.CASUALE [0,1]</v>
      </c>
      <c r="B53" s="130">
        <f t="shared" ca="1" si="6"/>
        <v>0.59384408866837501</v>
      </c>
      <c r="C53" s="15">
        <f t="shared" si="12"/>
        <v>27</v>
      </c>
      <c r="D53" s="128">
        <f t="shared" ca="1" si="8"/>
        <v>1429.5663481700853</v>
      </c>
      <c r="E53" s="4">
        <f t="shared" ca="1" si="9"/>
        <v>1429.5663481700853</v>
      </c>
    </row>
    <row r="54" spans="1:5" ht="15.6" x14ac:dyDescent="0.3">
      <c r="A54" s="1" t="str">
        <f t="shared" si="11"/>
        <v>NUM.CASUALE [0,1]</v>
      </c>
      <c r="B54" s="130">
        <f t="shared" ca="1" si="6"/>
        <v>0.6274610603286348</v>
      </c>
      <c r="C54" s="15">
        <f t="shared" si="12"/>
        <v>28</v>
      </c>
      <c r="D54" s="128">
        <f t="shared" ca="1" si="8"/>
        <v>1615.1269689497744</v>
      </c>
      <c r="E54" s="4">
        <f t="shared" ca="1" si="9"/>
        <v>1615.1269689497744</v>
      </c>
    </row>
    <row r="55" spans="1:5" ht="15.6" x14ac:dyDescent="0.3">
      <c r="A55" s="1" t="str">
        <f t="shared" si="11"/>
        <v>NUM.CASUALE [0,1]</v>
      </c>
      <c r="B55" s="130">
        <f t="shared" ca="1" si="6"/>
        <v>0.15929065652433383</v>
      </c>
      <c r="C55" s="15">
        <f t="shared" si="12"/>
        <v>29</v>
      </c>
      <c r="D55" s="128">
        <f t="shared" ca="1" si="8"/>
        <v>256.36366403294932</v>
      </c>
      <c r="E55" s="4">
        <f t="shared" ca="1" si="9"/>
        <v>256.36366403294932</v>
      </c>
    </row>
    <row r="56" spans="1:5" ht="15.6" x14ac:dyDescent="0.3">
      <c r="A56" s="1" t="str">
        <f t="shared" si="11"/>
        <v>NUM.CASUALE [0,1]</v>
      </c>
      <c r="B56" s="130">
        <f t="shared" ca="1" si="6"/>
        <v>0.22269902122333618</v>
      </c>
      <c r="C56" s="15">
        <f t="shared" si="12"/>
        <v>30</v>
      </c>
      <c r="D56" s="128">
        <f t="shared" ca="1" si="8"/>
        <v>355.18288880383056</v>
      </c>
      <c r="E56" s="4">
        <f t="shared" ca="1" si="9"/>
        <v>355.18288880383056</v>
      </c>
    </row>
    <row r="57" spans="1:5" ht="15.6" x14ac:dyDescent="0.3">
      <c r="A57" s="1" t="str">
        <f t="shared" si="11"/>
        <v>NUM.CASUALE [0,1]</v>
      </c>
      <c r="B57" s="130">
        <f t="shared" ca="1" si="6"/>
        <v>0.32820300793802071</v>
      </c>
      <c r="C57" s="15">
        <f t="shared" si="12"/>
        <v>31</v>
      </c>
      <c r="D57" s="128">
        <f t="shared" ca="1" si="8"/>
        <v>553.08910944380568</v>
      </c>
      <c r="E57" s="4">
        <f t="shared" ca="1" si="9"/>
        <v>553.08910944380568</v>
      </c>
    </row>
    <row r="58" spans="1:5" ht="15.6" x14ac:dyDescent="0.3">
      <c r="A58" s="1" t="str">
        <f t="shared" si="11"/>
        <v>NUM.CASUALE [0,1]</v>
      </c>
      <c r="B58" s="130">
        <f t="shared" ca="1" si="6"/>
        <v>0.26768165517243014</v>
      </c>
      <c r="C58" s="15">
        <f t="shared" si="12"/>
        <v>32</v>
      </c>
      <c r="D58" s="128">
        <f t="shared" ca="1" si="8"/>
        <v>433.55760879080623</v>
      </c>
      <c r="E58" s="4">
        <f t="shared" ca="1" si="9"/>
        <v>433.55760879080623</v>
      </c>
    </row>
    <row r="59" spans="1:5" ht="15.6" x14ac:dyDescent="0.3">
      <c r="A59" s="1" t="str">
        <f t="shared" si="11"/>
        <v>NUM.CASUALE [0,1]</v>
      </c>
      <c r="B59" s="130">
        <f t="shared" ca="1" si="6"/>
        <v>0.5280391125757854</v>
      </c>
      <c r="C59" s="15">
        <f t="shared" si="12"/>
        <v>33</v>
      </c>
      <c r="D59" s="128">
        <f t="shared" ca="1" si="8"/>
        <v>1132.9332460320322</v>
      </c>
      <c r="E59" s="4">
        <f t="shared" ca="1" si="9"/>
        <v>1132.9332460320322</v>
      </c>
    </row>
    <row r="60" spans="1:5" ht="15.6" x14ac:dyDescent="0.3">
      <c r="A60" s="1" t="str">
        <f t="shared" si="11"/>
        <v>NUM.CASUALE [0,1]</v>
      </c>
      <c r="B60" s="130">
        <f t="shared" ca="1" si="6"/>
        <v>0.92168760636982616</v>
      </c>
      <c r="C60" s="15">
        <f t="shared" si="12"/>
        <v>34</v>
      </c>
      <c r="D60" s="128">
        <f t="shared" ca="1" si="8"/>
        <v>7376.5746960915894</v>
      </c>
      <c r="E60" s="4">
        <f t="shared" ca="1" si="9"/>
        <v>7376.5746960915894</v>
      </c>
    </row>
    <row r="61" spans="1:5" ht="15.6" x14ac:dyDescent="0.3">
      <c r="A61" s="1" t="str">
        <f t="shared" si="11"/>
        <v>NUM.CASUALE [0,1]</v>
      </c>
      <c r="B61" s="130">
        <f t="shared" ca="1" si="6"/>
        <v>0.54214382863033994</v>
      </c>
      <c r="C61" s="15">
        <f t="shared" si="12"/>
        <v>35</v>
      </c>
      <c r="D61" s="128">
        <f t="shared" ca="1" si="8"/>
        <v>1190.303884386854</v>
      </c>
      <c r="E61" s="4">
        <f t="shared" ca="1" si="9"/>
        <v>1190.303884386854</v>
      </c>
    </row>
    <row r="62" spans="1:5" ht="15.6" x14ac:dyDescent="0.3">
      <c r="A62" s="1" t="str">
        <f t="shared" si="11"/>
        <v>NUM.CASUALE [0,1]</v>
      </c>
      <c r="B62" s="130">
        <f t="shared" ca="1" si="6"/>
        <v>0.6700159428489908</v>
      </c>
      <c r="C62" s="15">
        <f t="shared" si="12"/>
        <v>36</v>
      </c>
      <c r="D62" s="128">
        <f t="shared" ca="1" si="8"/>
        <v>1894.9875754612965</v>
      </c>
      <c r="E62" s="4">
        <f t="shared" ca="1" si="9"/>
        <v>1894.9875754612965</v>
      </c>
    </row>
    <row r="63" spans="1:5" ht="15.6" x14ac:dyDescent="0.3">
      <c r="A63" s="1" t="str">
        <f t="shared" si="11"/>
        <v>NUM.CASUALE [0,1]</v>
      </c>
      <c r="B63" s="130">
        <f t="shared" ca="1" si="6"/>
        <v>0.747489332865511</v>
      </c>
      <c r="C63" s="15">
        <f t="shared" si="12"/>
        <v>37</v>
      </c>
      <c r="D63" s="128">
        <f t="shared" ca="1" si="8"/>
        <v>2597.7609711092887</v>
      </c>
      <c r="E63" s="4">
        <f t="shared" ca="1" si="9"/>
        <v>2597.7609711092887</v>
      </c>
    </row>
    <row r="64" spans="1:5" ht="15.6" x14ac:dyDescent="0.3">
      <c r="A64" s="1" t="str">
        <f t="shared" si="11"/>
        <v>NUM.CASUALE [0,1]</v>
      </c>
      <c r="B64" s="130">
        <f t="shared" ca="1" si="6"/>
        <v>0.1726270920837506</v>
      </c>
      <c r="C64" s="15">
        <f t="shared" si="12"/>
        <v>38</v>
      </c>
      <c r="D64" s="128">
        <f t="shared" ca="1" si="8"/>
        <v>276.1968534487321</v>
      </c>
      <c r="E64" s="4">
        <f t="shared" ca="1" si="9"/>
        <v>276.1968534487321</v>
      </c>
    </row>
    <row r="65" spans="1:5" ht="15.6" x14ac:dyDescent="0.3">
      <c r="A65" s="1" t="str">
        <f t="shared" si="11"/>
        <v>NUM.CASUALE [0,1]</v>
      </c>
      <c r="B65" s="130">
        <f t="shared" ca="1" si="6"/>
        <v>0.75238388866015038</v>
      </c>
      <c r="C65" s="15">
        <f t="shared" si="12"/>
        <v>39</v>
      </c>
      <c r="D65" s="128">
        <f t="shared" ca="1" si="8"/>
        <v>2654.0411494831851</v>
      </c>
      <c r="E65" s="4">
        <f t="shared" ca="1" si="9"/>
        <v>2654.0411494831851</v>
      </c>
    </row>
    <row r="66" spans="1:5" ht="15.6" x14ac:dyDescent="0.3">
      <c r="A66" s="1" t="str">
        <f t="shared" si="11"/>
        <v>NUM.CASUALE [0,1]</v>
      </c>
      <c r="B66" s="130">
        <f t="shared" ca="1" si="6"/>
        <v>0.6604888145289215</v>
      </c>
      <c r="C66" s="15">
        <f t="shared" si="12"/>
        <v>40</v>
      </c>
      <c r="D66" s="128">
        <f t="shared" ca="1" si="8"/>
        <v>1827.2376511264501</v>
      </c>
      <c r="E66" s="4">
        <f t="shared" ca="1" si="9"/>
        <v>1827.2376511264501</v>
      </c>
    </row>
    <row r="67" spans="1:5" ht="15.6" x14ac:dyDescent="0.3">
      <c r="A67" s="1" t="str">
        <f t="shared" si="11"/>
        <v>NUM.CASUALE [0,1]</v>
      </c>
      <c r="B67" s="130">
        <f t="shared" ca="1" si="6"/>
        <v>0.61480476754280233</v>
      </c>
      <c r="C67" s="15">
        <f t="shared" si="12"/>
        <v>41</v>
      </c>
      <c r="D67" s="128">
        <f t="shared" ca="1" si="8"/>
        <v>1542.0427035819262</v>
      </c>
      <c r="E67" s="4">
        <f t="shared" ca="1" si="9"/>
        <v>1542.0427035819262</v>
      </c>
    </row>
    <row r="68" spans="1:5" ht="15.6" x14ac:dyDescent="0.3">
      <c r="A68" s="1" t="str">
        <f t="shared" si="11"/>
        <v>NUM.CASUALE [0,1]</v>
      </c>
      <c r="B68" s="130">
        <f t="shared" ca="1" si="6"/>
        <v>0.43502086246334082</v>
      </c>
      <c r="C68" s="15">
        <f t="shared" si="12"/>
        <v>42</v>
      </c>
      <c r="D68" s="128">
        <f t="shared" ca="1" si="8"/>
        <v>818.09297728223862</v>
      </c>
      <c r="E68" s="4">
        <f t="shared" ca="1" si="9"/>
        <v>818.09297728223862</v>
      </c>
    </row>
    <row r="69" spans="1:5" ht="15.6" x14ac:dyDescent="0.3">
      <c r="A69" s="1" t="str">
        <f t="shared" si="11"/>
        <v>NUM.CASUALE [0,1]</v>
      </c>
      <c r="B69" s="130">
        <f t="shared" ca="1" si="6"/>
        <v>0.36019534233363626</v>
      </c>
      <c r="C69" s="15">
        <f t="shared" si="12"/>
        <v>43</v>
      </c>
      <c r="D69" s="128">
        <f t="shared" ca="1" si="8"/>
        <v>624.23127507135939</v>
      </c>
      <c r="E69" s="4">
        <f t="shared" ca="1" si="9"/>
        <v>624.23127507135939</v>
      </c>
    </row>
    <row r="70" spans="1:5" ht="15.6" x14ac:dyDescent="0.3">
      <c r="A70" s="1" t="str">
        <f t="shared" si="11"/>
        <v>NUM.CASUALE [0,1]</v>
      </c>
      <c r="B70" s="130">
        <f t="shared" ca="1" si="6"/>
        <v>3.6136675654674377E-3</v>
      </c>
      <c r="C70" s="15">
        <f t="shared" si="12"/>
        <v>44</v>
      </c>
      <c r="D70" s="128">
        <f t="shared" ca="1" si="8"/>
        <v>24.440656503550859</v>
      </c>
      <c r="E70" s="4">
        <f t="shared" ca="1" si="9"/>
        <v>24.440656503550859</v>
      </c>
    </row>
    <row r="71" spans="1:5" ht="15.6" x14ac:dyDescent="0.3">
      <c r="A71" s="1" t="str">
        <f t="shared" si="11"/>
        <v>NUM.CASUALE [0,1]</v>
      </c>
      <c r="B71" s="130">
        <f t="shared" ca="1" si="6"/>
        <v>0.69662045616241985</v>
      </c>
      <c r="C71" s="15">
        <f t="shared" si="12"/>
        <v>45</v>
      </c>
      <c r="D71" s="128">
        <f t="shared" ca="1" si="8"/>
        <v>2102.7387267330469</v>
      </c>
      <c r="E71" s="4">
        <f t="shared" ca="1" si="9"/>
        <v>2102.7387267330469</v>
      </c>
    </row>
    <row r="72" spans="1:5" ht="15.6" x14ac:dyDescent="0.3">
      <c r="A72" s="1" t="str">
        <f t="shared" si="11"/>
        <v>NUM.CASUALE [0,1]</v>
      </c>
      <c r="B72" s="130">
        <f t="shared" ca="1" si="6"/>
        <v>0.58561672096208905</v>
      </c>
      <c r="C72" s="15">
        <f t="shared" si="12"/>
        <v>46</v>
      </c>
      <c r="D72" s="128">
        <f t="shared" ca="1" si="8"/>
        <v>1388.0793439098154</v>
      </c>
      <c r="E72" s="4">
        <f t="shared" ca="1" si="9"/>
        <v>1388.0793439098154</v>
      </c>
    </row>
    <row r="73" spans="1:5" ht="15.6" x14ac:dyDescent="0.3">
      <c r="A73" s="1" t="str">
        <f t="shared" si="11"/>
        <v>NUM.CASUALE [0,1]</v>
      </c>
      <c r="B73" s="130">
        <f t="shared" ca="1" si="6"/>
        <v>0.7303396010564398</v>
      </c>
      <c r="C73" s="15">
        <f t="shared" si="12"/>
        <v>47</v>
      </c>
      <c r="D73" s="128">
        <f t="shared" ca="1" si="8"/>
        <v>2413.8172217083547</v>
      </c>
      <c r="E73" s="4">
        <f t="shared" ca="1" si="9"/>
        <v>2413.8172217083547</v>
      </c>
    </row>
    <row r="74" spans="1:5" ht="15.6" x14ac:dyDescent="0.3">
      <c r="A74" s="1" t="str">
        <f t="shared" si="11"/>
        <v>NUM.CASUALE [0,1]</v>
      </c>
      <c r="B74" s="130">
        <f t="shared" ca="1" si="6"/>
        <v>1.2079464282647501E-2</v>
      </c>
      <c r="C74" s="15">
        <f t="shared" si="12"/>
        <v>48</v>
      </c>
      <c r="D74" s="128">
        <f t="shared" ca="1" si="8"/>
        <v>44.562967890181568</v>
      </c>
      <c r="E74" s="4">
        <f t="shared" ca="1" si="9"/>
        <v>44.562967890181568</v>
      </c>
    </row>
    <row r="75" spans="1:5" ht="15.6" x14ac:dyDescent="0.3">
      <c r="A75" s="1" t="str">
        <f t="shared" si="11"/>
        <v>NUM.CASUALE [0,1]</v>
      </c>
      <c r="B75" s="130">
        <f t="shared" ca="1" si="6"/>
        <v>0.24662035942242932</v>
      </c>
      <c r="C75" s="15">
        <f t="shared" si="12"/>
        <v>49</v>
      </c>
      <c r="D75" s="128">
        <f t="shared" ca="1" si="8"/>
        <v>395.88036612867364</v>
      </c>
      <c r="E75" s="4">
        <f t="shared" ca="1" si="9"/>
        <v>0</v>
      </c>
    </row>
    <row r="76" spans="1:5" ht="15.6" x14ac:dyDescent="0.3">
      <c r="A76" s="1" t="str">
        <f t="shared" si="11"/>
        <v>NUM.CASUALE [0,1]</v>
      </c>
      <c r="B76" s="130">
        <f t="shared" ca="1" si="6"/>
        <v>0.73460162750530922</v>
      </c>
      <c r="C76" s="15">
        <f t="shared" si="12"/>
        <v>50</v>
      </c>
      <c r="D76" s="128">
        <f t="shared" ca="1" si="8"/>
        <v>2457.7148066300033</v>
      </c>
      <c r="E76" s="4">
        <f t="shared" ca="1" si="9"/>
        <v>0</v>
      </c>
    </row>
    <row r="77" spans="1:5" ht="15.6" x14ac:dyDescent="0.3">
      <c r="A77" s="1" t="str">
        <f t="shared" si="11"/>
        <v>NUM.CASUALE [0,1]</v>
      </c>
      <c r="B77" s="130">
        <f t="shared" ca="1" si="6"/>
        <v>4.6112610676687371E-3</v>
      </c>
      <c r="C77" s="15">
        <f t="shared" si="12"/>
        <v>51</v>
      </c>
      <c r="D77" s="128">
        <f t="shared" ca="1" si="8"/>
        <v>27.413936830189126</v>
      </c>
      <c r="E77" s="4">
        <f t="shared" ca="1" si="9"/>
        <v>0</v>
      </c>
    </row>
    <row r="78" spans="1:5" ht="15.6" x14ac:dyDescent="0.3">
      <c r="A78" s="1" t="str">
        <f t="shared" si="11"/>
        <v>NUM.CASUALE [0,1]</v>
      </c>
      <c r="B78" s="130">
        <f t="shared" ca="1" si="6"/>
        <v>0.73074220091101794</v>
      </c>
      <c r="C78" s="15">
        <f t="shared" si="12"/>
        <v>52</v>
      </c>
      <c r="D78" s="128">
        <f t="shared" ca="1" si="8"/>
        <v>2417.9152271038297</v>
      </c>
      <c r="E78" s="4">
        <f t="shared" ca="1" si="9"/>
        <v>0</v>
      </c>
    </row>
    <row r="79" spans="1:5" ht="15.6" x14ac:dyDescent="0.3">
      <c r="A79" s="1" t="str">
        <f t="shared" si="11"/>
        <v>NUM.CASUALE [0,1]</v>
      </c>
      <c r="B79" s="130">
        <f t="shared" ca="1" si="6"/>
        <v>3.0746747214080106E-2</v>
      </c>
      <c r="C79" s="15">
        <f t="shared" si="12"/>
        <v>53</v>
      </c>
      <c r="D79" s="128">
        <f t="shared" ca="1" si="8"/>
        <v>76.115038870909416</v>
      </c>
      <c r="E79" s="4">
        <f t="shared" ca="1" si="9"/>
        <v>0</v>
      </c>
    </row>
    <row r="80" spans="1:5" ht="15.6" x14ac:dyDescent="0.3">
      <c r="A80" s="1" t="str">
        <f t="shared" si="11"/>
        <v>NUM.CASUALE [0,1]</v>
      </c>
      <c r="B80" s="130">
        <f t="shared" ca="1" si="6"/>
        <v>0.57795118090331965</v>
      </c>
      <c r="C80" s="15">
        <f t="shared" si="12"/>
        <v>54</v>
      </c>
      <c r="D80" s="128">
        <f t="shared" ca="1" si="8"/>
        <v>1350.6730587015704</v>
      </c>
      <c r="E80" s="4">
        <f t="shared" ca="1" si="9"/>
        <v>0</v>
      </c>
    </row>
    <row r="81" spans="1:5" ht="15.6" x14ac:dyDescent="0.3">
      <c r="A81" s="1" t="str">
        <f t="shared" si="11"/>
        <v>NUM.CASUALE [0,1]</v>
      </c>
      <c r="B81" s="130">
        <f t="shared" ca="1" si="6"/>
        <v>0.46368508735346947</v>
      </c>
      <c r="C81" s="15">
        <f t="shared" si="12"/>
        <v>55</v>
      </c>
      <c r="D81" s="128">
        <f t="shared" ca="1" si="8"/>
        <v>904.88534705158804</v>
      </c>
      <c r="E81" s="4">
        <f t="shared" ca="1" si="9"/>
        <v>0</v>
      </c>
    </row>
    <row r="82" spans="1:5" ht="15.6" x14ac:dyDescent="0.3">
      <c r="A82" s="1" t="str">
        <f t="shared" si="11"/>
        <v>NUM.CASUALE [0,1]</v>
      </c>
      <c r="B82" s="130">
        <f t="shared" ca="1" si="6"/>
        <v>0.67362866952196687</v>
      </c>
      <c r="C82" s="15">
        <f t="shared" si="12"/>
        <v>56</v>
      </c>
      <c r="D82" s="128">
        <f t="shared" ca="1" si="8"/>
        <v>1921.5399007254748</v>
      </c>
      <c r="E82" s="4">
        <f t="shared" ca="1" si="9"/>
        <v>0</v>
      </c>
    </row>
    <row r="83" spans="1:5" ht="15.6" x14ac:dyDescent="0.3">
      <c r="A83" s="1" t="str">
        <f t="shared" si="11"/>
        <v>NUM.CASUALE [0,1]</v>
      </c>
      <c r="B83" s="130">
        <f t="shared" ca="1" si="6"/>
        <v>0.96677811873943131</v>
      </c>
      <c r="C83" s="15">
        <f t="shared" si="12"/>
        <v>57</v>
      </c>
      <c r="D83" s="128">
        <f t="shared" ca="1" si="8"/>
        <v>13214.387577784255</v>
      </c>
      <c r="E83" s="4">
        <f t="shared" ca="1" si="9"/>
        <v>0</v>
      </c>
    </row>
    <row r="84" spans="1:5" ht="15.6" x14ac:dyDescent="0.3">
      <c r="A84" s="1" t="str">
        <f t="shared" si="11"/>
        <v>NUM.CASUALE [0,1]</v>
      </c>
      <c r="B84" s="130">
        <f t="shared" ca="1" si="6"/>
        <v>1.7568679490514993E-3</v>
      </c>
      <c r="C84" s="15">
        <f t="shared" si="12"/>
        <v>58</v>
      </c>
      <c r="D84" s="128">
        <f t="shared" ca="1" si="8"/>
        <v>17.681179903044903</v>
      </c>
      <c r="E84" s="4">
        <f t="shared" ca="1" si="9"/>
        <v>0</v>
      </c>
    </row>
    <row r="85" spans="1:5" ht="15.6" x14ac:dyDescent="0.3">
      <c r="A85" s="1" t="str">
        <f t="shared" si="11"/>
        <v>NUM.CASUALE [0,1]</v>
      </c>
      <c r="B85" s="130">
        <f t="shared" ca="1" si="6"/>
        <v>0.65673950356805488</v>
      </c>
      <c r="C85" s="15">
        <f t="shared" si="12"/>
        <v>59</v>
      </c>
      <c r="D85" s="128">
        <f t="shared" ca="1" si="8"/>
        <v>1801.4402446551217</v>
      </c>
      <c r="E85" s="4">
        <f t="shared" ca="1" si="9"/>
        <v>0</v>
      </c>
    </row>
    <row r="86" spans="1:5" ht="15.6" x14ac:dyDescent="0.3">
      <c r="A86" s="1" t="str">
        <f t="shared" si="11"/>
        <v>NUM.CASUALE [0,1]</v>
      </c>
      <c r="B86" s="130">
        <f t="shared" ca="1" si="6"/>
        <v>0.49651449734314768</v>
      </c>
      <c r="C86" s="15">
        <f t="shared" si="12"/>
        <v>60</v>
      </c>
      <c r="D86" s="128">
        <f t="shared" ca="1" si="8"/>
        <v>1014.8640527588667</v>
      </c>
      <c r="E86" s="4">
        <f t="shared" ca="1" si="9"/>
        <v>0</v>
      </c>
    </row>
    <row r="87" spans="1:5" ht="15.6" x14ac:dyDescent="0.3">
      <c r="A87" s="1" t="str">
        <f t="shared" si="11"/>
        <v>NUM.CASUALE [0,1]</v>
      </c>
      <c r="B87" s="130">
        <f t="shared" ca="1" si="6"/>
        <v>0.22241363134399106</v>
      </c>
      <c r="C87" s="15">
        <f t="shared" si="12"/>
        <v>61</v>
      </c>
      <c r="D87" s="128">
        <f t="shared" ca="1" si="8"/>
        <v>354.70989529087143</v>
      </c>
      <c r="E87" s="4">
        <f t="shared" ca="1" si="9"/>
        <v>0</v>
      </c>
    </row>
    <row r="88" spans="1:5" ht="15.6" x14ac:dyDescent="0.3">
      <c r="A88" s="1" t="str">
        <f t="shared" si="11"/>
        <v>NUM.CASUALE [0,1]</v>
      </c>
      <c r="B88" s="130">
        <f t="shared" ca="1" si="6"/>
        <v>0.62995532436522006</v>
      </c>
      <c r="C88" s="15">
        <f t="shared" si="12"/>
        <v>62</v>
      </c>
      <c r="D88" s="128">
        <f t="shared" ca="1" si="8"/>
        <v>1630.0278400221384</v>
      </c>
      <c r="E88" s="4">
        <f t="shared" ca="1" si="9"/>
        <v>0</v>
      </c>
    </row>
    <row r="89" spans="1:5" ht="15.6" x14ac:dyDescent="0.3">
      <c r="A89" s="1" t="str">
        <f t="shared" si="11"/>
        <v>NUM.CASUALE [0,1]</v>
      </c>
      <c r="B89" s="130">
        <f t="shared" ca="1" si="6"/>
        <v>0.66655442654865182</v>
      </c>
      <c r="C89" s="15">
        <f t="shared" si="12"/>
        <v>63</v>
      </c>
      <c r="D89" s="128">
        <f t="shared" ca="1" si="8"/>
        <v>1869.9978022726618</v>
      </c>
      <c r="E89" s="4">
        <f t="shared" ca="1" si="9"/>
        <v>0</v>
      </c>
    </row>
    <row r="90" spans="1:5" ht="15.6" x14ac:dyDescent="0.3">
      <c r="A90" s="1" t="str">
        <f t="shared" si="11"/>
        <v>NUM.CASUALE [0,1]</v>
      </c>
      <c r="B90" s="130">
        <f t="shared" ca="1" si="6"/>
        <v>0.49405216696515608</v>
      </c>
      <c r="C90" s="15">
        <f t="shared" si="12"/>
        <v>64</v>
      </c>
      <c r="D90" s="128">
        <f t="shared" ca="1" si="8"/>
        <v>1006.1831748593182</v>
      </c>
      <c r="E90" s="4">
        <f t="shared" ca="1" si="9"/>
        <v>0</v>
      </c>
    </row>
    <row r="91" spans="1:5" ht="15.6" x14ac:dyDescent="0.3">
      <c r="A91" s="1" t="str">
        <f t="shared" si="11"/>
        <v>NUM.CASUALE [0,1]</v>
      </c>
      <c r="B91" s="130">
        <f t="shared" ca="1" si="6"/>
        <v>0.3530999504183906</v>
      </c>
      <c r="C91" s="15">
        <f t="shared" si="12"/>
        <v>65</v>
      </c>
      <c r="D91" s="128">
        <f t="shared" ca="1" si="8"/>
        <v>607.91760888425335</v>
      </c>
      <c r="E91" s="4">
        <f t="shared" ca="1" si="9"/>
        <v>0</v>
      </c>
    </row>
    <row r="92" spans="1:5" ht="15.6" x14ac:dyDescent="0.3">
      <c r="A92" s="1" t="str">
        <f t="shared" si="11"/>
        <v>NUM.CASUALE [0,1]</v>
      </c>
      <c r="B92" s="130">
        <f t="shared" ref="B92:B125" ca="1" si="13">RAND()</f>
        <v>0.58959765339126025</v>
      </c>
      <c r="C92" s="15">
        <f t="shared" si="12"/>
        <v>66</v>
      </c>
      <c r="D92" s="128">
        <f t="shared" ref="D92:D126" ca="1" si="14">_xlfn.LOGNORM.INV(B92,$B$24,$C$24)</f>
        <v>1407.9760579082972</v>
      </c>
      <c r="E92" s="4">
        <f t="shared" ref="E92:E126" ca="1" si="15">IF(C92&lt;=$B$15,D92,0)</f>
        <v>0</v>
      </c>
    </row>
    <row r="93" spans="1:5" ht="15.6" x14ac:dyDescent="0.3">
      <c r="A93" s="1" t="str">
        <f t="shared" si="11"/>
        <v>NUM.CASUALE [0,1]</v>
      </c>
      <c r="B93" s="130">
        <f t="shared" ca="1" si="13"/>
        <v>0.50256752041925246</v>
      </c>
      <c r="C93" s="15">
        <f t="shared" si="12"/>
        <v>67</v>
      </c>
      <c r="D93" s="128">
        <f t="shared" ca="1" si="14"/>
        <v>1036.5221633832782</v>
      </c>
      <c r="E93" s="4">
        <f t="shared" ca="1" si="15"/>
        <v>0</v>
      </c>
    </row>
    <row r="94" spans="1:5" ht="15.6" x14ac:dyDescent="0.3">
      <c r="A94" s="1" t="str">
        <f t="shared" si="11"/>
        <v>NUM.CASUALE [0,1]</v>
      </c>
      <c r="B94" s="130">
        <f t="shared" ca="1" si="13"/>
        <v>0.48124086513671005</v>
      </c>
      <c r="C94" s="15">
        <f t="shared" si="12"/>
        <v>68</v>
      </c>
      <c r="D94" s="128">
        <f t="shared" ca="1" si="14"/>
        <v>962.18182221347445</v>
      </c>
      <c r="E94" s="4">
        <f t="shared" ca="1" si="15"/>
        <v>0</v>
      </c>
    </row>
    <row r="95" spans="1:5" ht="15.6" x14ac:dyDescent="0.3">
      <c r="A95" s="1" t="str">
        <f t="shared" si="11"/>
        <v>NUM.CASUALE [0,1]</v>
      </c>
      <c r="B95" s="130">
        <f t="shared" ca="1" si="13"/>
        <v>0.37862591054377404</v>
      </c>
      <c r="C95" s="15">
        <f t="shared" si="12"/>
        <v>69</v>
      </c>
      <c r="D95" s="128">
        <f t="shared" ca="1" si="14"/>
        <v>668.14130956877636</v>
      </c>
      <c r="E95" s="4">
        <f t="shared" ca="1" si="15"/>
        <v>0</v>
      </c>
    </row>
    <row r="96" spans="1:5" ht="15.6" x14ac:dyDescent="0.3">
      <c r="A96" s="1" t="str">
        <f t="shared" si="11"/>
        <v>NUM.CASUALE [0,1]</v>
      </c>
      <c r="B96" s="130">
        <f t="shared" ca="1" si="13"/>
        <v>0.86090527604856515</v>
      </c>
      <c r="C96" s="15">
        <f t="shared" si="12"/>
        <v>70</v>
      </c>
      <c r="D96" s="128">
        <f t="shared" ca="1" si="14"/>
        <v>4646.3941706052337</v>
      </c>
      <c r="E96" s="4">
        <f t="shared" ca="1" si="15"/>
        <v>0</v>
      </c>
    </row>
    <row r="97" spans="1:5" ht="15.6" x14ac:dyDescent="0.3">
      <c r="A97" s="1" t="str">
        <f t="shared" si="11"/>
        <v>NUM.CASUALE [0,1]</v>
      </c>
      <c r="B97" s="130">
        <f t="shared" ca="1" si="13"/>
        <v>0.53053211981323134</v>
      </c>
      <c r="C97" s="15">
        <f t="shared" si="12"/>
        <v>71</v>
      </c>
      <c r="D97" s="128">
        <f t="shared" ca="1" si="14"/>
        <v>1142.8561393504231</v>
      </c>
      <c r="E97" s="4">
        <f t="shared" ca="1" si="15"/>
        <v>0</v>
      </c>
    </row>
    <row r="98" spans="1:5" ht="15.6" x14ac:dyDescent="0.3">
      <c r="A98" s="1" t="str">
        <f t="shared" si="11"/>
        <v>NUM.CASUALE [0,1]</v>
      </c>
      <c r="B98" s="130">
        <f t="shared" ca="1" si="13"/>
        <v>0.21971009926690044</v>
      </c>
      <c r="C98" s="15">
        <f t="shared" si="12"/>
        <v>72</v>
      </c>
      <c r="D98" s="128">
        <f t="shared" ca="1" si="14"/>
        <v>350.24321835381983</v>
      </c>
      <c r="E98" s="4">
        <f t="shared" ca="1" si="15"/>
        <v>0</v>
      </c>
    </row>
    <row r="99" spans="1:5" ht="15.6" x14ac:dyDescent="0.3">
      <c r="A99" s="1" t="str">
        <f t="shared" si="11"/>
        <v>NUM.CASUALE [0,1]</v>
      </c>
      <c r="B99" s="130">
        <f t="shared" ca="1" si="13"/>
        <v>0.7132790675171381</v>
      </c>
      <c r="C99" s="15">
        <f t="shared" si="12"/>
        <v>73</v>
      </c>
      <c r="D99" s="128">
        <f t="shared" ca="1" si="14"/>
        <v>2248.8959883895127</v>
      </c>
      <c r="E99" s="4">
        <f t="shared" ca="1" si="15"/>
        <v>0</v>
      </c>
    </row>
    <row r="100" spans="1:5" ht="15.6" x14ac:dyDescent="0.3">
      <c r="A100" s="1" t="str">
        <f t="shared" si="11"/>
        <v>NUM.CASUALE [0,1]</v>
      </c>
      <c r="B100" s="130">
        <f t="shared" ca="1" si="13"/>
        <v>0.97302137777514319</v>
      </c>
      <c r="C100" s="15">
        <f t="shared" si="12"/>
        <v>74</v>
      </c>
      <c r="D100" s="128">
        <f t="shared" ca="1" si="14"/>
        <v>15014.445693792894</v>
      </c>
      <c r="E100" s="4">
        <f t="shared" ca="1" si="15"/>
        <v>0</v>
      </c>
    </row>
    <row r="101" spans="1:5" ht="15.6" x14ac:dyDescent="0.3">
      <c r="A101" s="1" t="str">
        <f t="shared" ref="A101:A126" si="16">+A100</f>
        <v>NUM.CASUALE [0,1]</v>
      </c>
      <c r="B101" s="130">
        <f t="shared" ca="1" si="13"/>
        <v>0.1690523786654945</v>
      </c>
      <c r="C101" s="15">
        <f t="shared" ref="C101:C126" si="17">+C100+1</f>
        <v>75</v>
      </c>
      <c r="D101" s="128">
        <f t="shared" ca="1" si="14"/>
        <v>270.83653215378126</v>
      </c>
      <c r="E101" s="4">
        <f t="shared" ca="1" si="15"/>
        <v>0</v>
      </c>
    </row>
    <row r="102" spans="1:5" ht="15.6" x14ac:dyDescent="0.3">
      <c r="A102" s="1" t="str">
        <f t="shared" si="16"/>
        <v>NUM.CASUALE [0,1]</v>
      </c>
      <c r="B102" s="130">
        <f t="shared" ca="1" si="13"/>
        <v>7.9017977336792833E-2</v>
      </c>
      <c r="C102" s="15">
        <f t="shared" si="17"/>
        <v>76</v>
      </c>
      <c r="D102" s="128">
        <f t="shared" ca="1" si="14"/>
        <v>144.02170633906366</v>
      </c>
      <c r="E102" s="4">
        <f t="shared" ca="1" si="15"/>
        <v>0</v>
      </c>
    </row>
    <row r="103" spans="1:5" ht="15.6" x14ac:dyDescent="0.3">
      <c r="A103" s="1" t="str">
        <f t="shared" si="16"/>
        <v>NUM.CASUALE [0,1]</v>
      </c>
      <c r="B103" s="130">
        <f t="shared" ca="1" si="13"/>
        <v>0.48617314649840615</v>
      </c>
      <c r="C103" s="15">
        <f t="shared" si="17"/>
        <v>77</v>
      </c>
      <c r="D103" s="128">
        <f t="shared" ca="1" si="14"/>
        <v>978.89494026448892</v>
      </c>
      <c r="E103" s="4">
        <f t="shared" ca="1" si="15"/>
        <v>0</v>
      </c>
    </row>
    <row r="104" spans="1:5" ht="15.6" x14ac:dyDescent="0.3">
      <c r="A104" s="1" t="str">
        <f t="shared" si="16"/>
        <v>NUM.CASUALE [0,1]</v>
      </c>
      <c r="B104" s="130">
        <f t="shared" ca="1" si="13"/>
        <v>0.20351309703395537</v>
      </c>
      <c r="C104" s="15">
        <f t="shared" si="17"/>
        <v>78</v>
      </c>
      <c r="D104" s="128">
        <f t="shared" ca="1" si="14"/>
        <v>323.99863822840825</v>
      </c>
      <c r="E104" s="4">
        <f t="shared" ca="1" si="15"/>
        <v>0</v>
      </c>
    </row>
    <row r="105" spans="1:5" ht="15.6" x14ac:dyDescent="0.3">
      <c r="A105" s="1" t="str">
        <f t="shared" si="16"/>
        <v>NUM.CASUALE [0,1]</v>
      </c>
      <c r="B105" s="130">
        <f t="shared" ca="1" si="13"/>
        <v>3.6126535636896828E-2</v>
      </c>
      <c r="C105" s="15">
        <f t="shared" si="17"/>
        <v>79</v>
      </c>
      <c r="D105" s="128">
        <f t="shared" ca="1" si="14"/>
        <v>84.185324496596351</v>
      </c>
      <c r="E105" s="4">
        <f t="shared" ca="1" si="15"/>
        <v>0</v>
      </c>
    </row>
    <row r="106" spans="1:5" ht="15.6" x14ac:dyDescent="0.3">
      <c r="A106" s="1" t="str">
        <f t="shared" si="16"/>
        <v>NUM.CASUALE [0,1]</v>
      </c>
      <c r="B106" s="130">
        <f t="shared" ca="1" si="13"/>
        <v>0.58876710019168688</v>
      </c>
      <c r="C106" s="15">
        <f t="shared" si="17"/>
        <v>80</v>
      </c>
      <c r="D106" s="128">
        <f t="shared" ca="1" si="14"/>
        <v>1403.7977884969034</v>
      </c>
      <c r="E106" s="4">
        <f t="shared" ca="1" si="15"/>
        <v>0</v>
      </c>
    </row>
    <row r="107" spans="1:5" ht="15.6" x14ac:dyDescent="0.3">
      <c r="A107" s="1" t="str">
        <f t="shared" si="16"/>
        <v>NUM.CASUALE [0,1]</v>
      </c>
      <c r="B107" s="130">
        <f t="shared" ca="1" si="13"/>
        <v>0.83794473567685168</v>
      </c>
      <c r="C107" s="15">
        <f t="shared" si="17"/>
        <v>81</v>
      </c>
      <c r="D107" s="128">
        <f t="shared" ca="1" si="14"/>
        <v>4052.0228641524777</v>
      </c>
      <c r="E107" s="4">
        <f t="shared" ca="1" si="15"/>
        <v>0</v>
      </c>
    </row>
    <row r="108" spans="1:5" ht="15.6" x14ac:dyDescent="0.3">
      <c r="A108" s="1" t="str">
        <f t="shared" si="16"/>
        <v>NUM.CASUALE [0,1]</v>
      </c>
      <c r="B108" s="130">
        <f t="shared" ca="1" si="13"/>
        <v>0.11963486344793484</v>
      </c>
      <c r="C108" s="15">
        <f t="shared" si="17"/>
        <v>82</v>
      </c>
      <c r="D108" s="128">
        <f t="shared" ca="1" si="14"/>
        <v>199.71096280817488</v>
      </c>
      <c r="E108" s="4">
        <f t="shared" ca="1" si="15"/>
        <v>0</v>
      </c>
    </row>
    <row r="109" spans="1:5" ht="15.6" x14ac:dyDescent="0.3">
      <c r="A109" s="1" t="str">
        <f t="shared" si="16"/>
        <v>NUM.CASUALE [0,1]</v>
      </c>
      <c r="B109" s="130">
        <f t="shared" ca="1" si="13"/>
        <v>0.53316746500328771</v>
      </c>
      <c r="C109" s="15">
        <f t="shared" si="17"/>
        <v>83</v>
      </c>
      <c r="D109" s="128">
        <f t="shared" ca="1" si="14"/>
        <v>1153.4453507105757</v>
      </c>
      <c r="E109" s="4">
        <f t="shared" ca="1" si="15"/>
        <v>0</v>
      </c>
    </row>
    <row r="110" spans="1:5" ht="15.6" x14ac:dyDescent="0.3">
      <c r="A110" s="1" t="str">
        <f t="shared" si="16"/>
        <v>NUM.CASUALE [0,1]</v>
      </c>
      <c r="B110" s="130">
        <f t="shared" ca="1" si="13"/>
        <v>0.42634520888785477</v>
      </c>
      <c r="C110" s="15">
        <f t="shared" si="17"/>
        <v>84</v>
      </c>
      <c r="D110" s="128">
        <f t="shared" ca="1" si="14"/>
        <v>793.33454671235063</v>
      </c>
      <c r="E110" s="4">
        <f t="shared" ca="1" si="15"/>
        <v>0</v>
      </c>
    </row>
    <row r="111" spans="1:5" ht="15.6" x14ac:dyDescent="0.3">
      <c r="A111" s="1" t="str">
        <f t="shared" si="16"/>
        <v>NUM.CASUALE [0,1]</v>
      </c>
      <c r="B111" s="130">
        <f t="shared" ca="1" si="13"/>
        <v>0.2119460406497562</v>
      </c>
      <c r="C111" s="15">
        <f t="shared" si="17"/>
        <v>85</v>
      </c>
      <c r="D111" s="128">
        <f t="shared" ca="1" si="14"/>
        <v>337.55451911969993</v>
      </c>
      <c r="E111" s="4">
        <f t="shared" ca="1" si="15"/>
        <v>0</v>
      </c>
    </row>
    <row r="112" spans="1:5" ht="15.6" x14ac:dyDescent="0.3">
      <c r="A112" s="1" t="str">
        <f t="shared" si="16"/>
        <v>NUM.CASUALE [0,1]</v>
      </c>
      <c r="B112" s="130">
        <f t="shared" ca="1" si="13"/>
        <v>9.6074759283595212E-2</v>
      </c>
      <c r="C112" s="15">
        <f t="shared" si="17"/>
        <v>86</v>
      </c>
      <c r="D112" s="128">
        <f t="shared" ca="1" si="14"/>
        <v>167.25514520389299</v>
      </c>
      <c r="E112" s="4">
        <f t="shared" ca="1" si="15"/>
        <v>0</v>
      </c>
    </row>
    <row r="113" spans="1:5" ht="15.6" x14ac:dyDescent="0.3">
      <c r="A113" s="1" t="str">
        <f t="shared" si="16"/>
        <v>NUM.CASUALE [0,1]</v>
      </c>
      <c r="B113" s="130">
        <f t="shared" ca="1" si="13"/>
        <v>2.2306594065294005E-2</v>
      </c>
      <c r="C113" s="15">
        <f t="shared" si="17"/>
        <v>87</v>
      </c>
      <c r="D113" s="128">
        <f t="shared" ca="1" si="14"/>
        <v>62.78378629091489</v>
      </c>
      <c r="E113" s="4">
        <f t="shared" ca="1" si="15"/>
        <v>0</v>
      </c>
    </row>
    <row r="114" spans="1:5" ht="15.6" x14ac:dyDescent="0.3">
      <c r="A114" s="1" t="str">
        <f t="shared" si="16"/>
        <v>NUM.CASUALE [0,1]</v>
      </c>
      <c r="B114" s="130">
        <f t="shared" ca="1" si="13"/>
        <v>0.80833616387882723</v>
      </c>
      <c r="C114" s="15">
        <f t="shared" si="17"/>
        <v>88</v>
      </c>
      <c r="D114" s="128">
        <f t="shared" ca="1" si="14"/>
        <v>3456.2754279889491</v>
      </c>
      <c r="E114" s="4">
        <f t="shared" ca="1" si="15"/>
        <v>0</v>
      </c>
    </row>
    <row r="115" spans="1:5" ht="15.6" x14ac:dyDescent="0.3">
      <c r="A115" s="1" t="str">
        <f t="shared" si="16"/>
        <v>NUM.CASUALE [0,1]</v>
      </c>
      <c r="B115" s="130">
        <f t="shared" ca="1" si="13"/>
        <v>0.74638030979898817</v>
      </c>
      <c r="C115" s="15">
        <f t="shared" si="17"/>
        <v>89</v>
      </c>
      <c r="D115" s="128">
        <f t="shared" ca="1" si="14"/>
        <v>2585.2547229838692</v>
      </c>
      <c r="E115" s="4">
        <f t="shared" ca="1" si="15"/>
        <v>0</v>
      </c>
    </row>
    <row r="116" spans="1:5" ht="15.6" x14ac:dyDescent="0.3">
      <c r="A116" s="1" t="str">
        <f t="shared" si="16"/>
        <v>NUM.CASUALE [0,1]</v>
      </c>
      <c r="B116" s="130">
        <f t="shared" ca="1" si="13"/>
        <v>0.31923079088670014</v>
      </c>
      <c r="C116" s="15">
        <f t="shared" si="17"/>
        <v>90</v>
      </c>
      <c r="D116" s="128">
        <f t="shared" ca="1" si="14"/>
        <v>534.19851916699315</v>
      </c>
      <c r="E116" s="4">
        <f t="shared" ca="1" si="15"/>
        <v>0</v>
      </c>
    </row>
    <row r="117" spans="1:5" ht="15.6" x14ac:dyDescent="0.3">
      <c r="A117" s="1" t="str">
        <f t="shared" si="16"/>
        <v>NUM.CASUALE [0,1]</v>
      </c>
      <c r="B117" s="130">
        <f t="shared" ca="1" si="13"/>
        <v>0.32787759063316513</v>
      </c>
      <c r="C117" s="15">
        <f t="shared" si="17"/>
        <v>91</v>
      </c>
      <c r="D117" s="128">
        <f t="shared" ca="1" si="14"/>
        <v>552.3962093129511</v>
      </c>
      <c r="E117" s="4">
        <f t="shared" ca="1" si="15"/>
        <v>0</v>
      </c>
    </row>
    <row r="118" spans="1:5" ht="15.6" x14ac:dyDescent="0.3">
      <c r="A118" s="1" t="str">
        <f t="shared" si="16"/>
        <v>NUM.CASUALE [0,1]</v>
      </c>
      <c r="B118" s="130">
        <f t="shared" ca="1" si="13"/>
        <v>9.3267766720487311E-2</v>
      </c>
      <c r="C118" s="15">
        <f t="shared" si="17"/>
        <v>92</v>
      </c>
      <c r="D118" s="128">
        <f t="shared" ca="1" si="14"/>
        <v>163.42382547632229</v>
      </c>
      <c r="E118" s="4">
        <f t="shared" ca="1" si="15"/>
        <v>0</v>
      </c>
    </row>
    <row r="119" spans="1:5" ht="15.6" x14ac:dyDescent="0.3">
      <c r="A119" s="1" t="str">
        <f t="shared" si="16"/>
        <v>NUM.CASUALE [0,1]</v>
      </c>
      <c r="B119" s="130">
        <f t="shared" ca="1" si="13"/>
        <v>0.13180544679396711</v>
      </c>
      <c r="C119" s="15">
        <f t="shared" si="17"/>
        <v>93</v>
      </c>
      <c r="D119" s="128">
        <f t="shared" ca="1" si="14"/>
        <v>216.77653304118925</v>
      </c>
      <c r="E119" s="4">
        <f t="shared" ca="1" si="15"/>
        <v>0</v>
      </c>
    </row>
    <row r="120" spans="1:5" ht="15.6" x14ac:dyDescent="0.3">
      <c r="A120" s="1" t="str">
        <f t="shared" si="16"/>
        <v>NUM.CASUALE [0,1]</v>
      </c>
      <c r="B120" s="130">
        <f t="shared" ca="1" si="13"/>
        <v>0.98158065317687571</v>
      </c>
      <c r="C120" s="15">
        <f t="shared" si="17"/>
        <v>94</v>
      </c>
      <c r="D120" s="128">
        <f t="shared" ca="1" si="14"/>
        <v>18768.87546552534</v>
      </c>
      <c r="E120" s="4">
        <f t="shared" ca="1" si="15"/>
        <v>0</v>
      </c>
    </row>
    <row r="121" spans="1:5" ht="15.6" x14ac:dyDescent="0.3">
      <c r="A121" s="1" t="str">
        <f t="shared" si="16"/>
        <v>NUM.CASUALE [0,1]</v>
      </c>
      <c r="B121" s="130">
        <f t="shared" ca="1" si="13"/>
        <v>0.49927866727140402</v>
      </c>
      <c r="C121" s="15">
        <f t="shared" si="17"/>
        <v>95</v>
      </c>
      <c r="D121" s="128">
        <f t="shared" ca="1" si="14"/>
        <v>1024.6977682844924</v>
      </c>
      <c r="E121" s="4">
        <f t="shared" ca="1" si="15"/>
        <v>0</v>
      </c>
    </row>
    <row r="122" spans="1:5" ht="15.6" x14ac:dyDescent="0.3">
      <c r="A122" s="1" t="str">
        <f t="shared" si="16"/>
        <v>NUM.CASUALE [0,1]</v>
      </c>
      <c r="B122" s="130">
        <f t="shared" ca="1" si="13"/>
        <v>0.12925700069226065</v>
      </c>
      <c r="C122" s="15">
        <f t="shared" si="17"/>
        <v>96</v>
      </c>
      <c r="D122" s="128">
        <f t="shared" ca="1" si="14"/>
        <v>213.18238675662596</v>
      </c>
      <c r="E122" s="4">
        <f t="shared" ca="1" si="15"/>
        <v>0</v>
      </c>
    </row>
    <row r="123" spans="1:5" ht="15.6" x14ac:dyDescent="0.3">
      <c r="A123" s="1" t="str">
        <f t="shared" si="16"/>
        <v>NUM.CASUALE [0,1]</v>
      </c>
      <c r="B123" s="130">
        <f t="shared" ca="1" si="13"/>
        <v>0.86854355582225218</v>
      </c>
      <c r="C123" s="15">
        <f t="shared" si="17"/>
        <v>97</v>
      </c>
      <c r="D123" s="128">
        <f t="shared" ca="1" si="14"/>
        <v>4879.256219753308</v>
      </c>
      <c r="E123" s="4">
        <f t="shared" ca="1" si="15"/>
        <v>0</v>
      </c>
    </row>
    <row r="124" spans="1:5" ht="15.6" x14ac:dyDescent="0.3">
      <c r="A124" s="1" t="str">
        <f t="shared" si="16"/>
        <v>NUM.CASUALE [0,1]</v>
      </c>
      <c r="B124" s="130">
        <f t="shared" ca="1" si="13"/>
        <v>0.9381236747703543</v>
      </c>
      <c r="C124" s="15">
        <f t="shared" si="17"/>
        <v>98</v>
      </c>
      <c r="D124" s="128">
        <f t="shared" ca="1" si="14"/>
        <v>8750.1339746918002</v>
      </c>
      <c r="E124" s="4">
        <f t="shared" ca="1" si="15"/>
        <v>0</v>
      </c>
    </row>
    <row r="125" spans="1:5" ht="15.6" x14ac:dyDescent="0.3">
      <c r="A125" s="1" t="str">
        <f t="shared" si="16"/>
        <v>NUM.CASUALE [0,1]</v>
      </c>
      <c r="B125" s="130">
        <f t="shared" ca="1" si="13"/>
        <v>0.47892710106313718</v>
      </c>
      <c r="C125" s="15">
        <f t="shared" si="17"/>
        <v>99</v>
      </c>
      <c r="D125" s="128">
        <f t="shared" ca="1" si="14"/>
        <v>954.43707575584187</v>
      </c>
      <c r="E125" s="4">
        <f t="shared" ca="1" si="15"/>
        <v>0</v>
      </c>
    </row>
    <row r="126" spans="1:5" ht="15.6" x14ac:dyDescent="0.3">
      <c r="A126" s="1" t="str">
        <f t="shared" si="16"/>
        <v>NUM.CASUALE [0,1]</v>
      </c>
      <c r="B126" s="130">
        <f ca="1">RAND()</f>
        <v>4.8298624856417227E-2</v>
      </c>
      <c r="C126" s="15">
        <f t="shared" si="17"/>
        <v>100</v>
      </c>
      <c r="D126" s="128">
        <f t="shared" ca="1" si="14"/>
        <v>101.71891260981711</v>
      </c>
      <c r="E126" s="4">
        <f t="shared" ca="1" si="15"/>
        <v>0</v>
      </c>
    </row>
    <row r="127" spans="1:5" ht="15.6" x14ac:dyDescent="0.3">
      <c r="A127" s="3"/>
      <c r="B127" s="7"/>
      <c r="D127" s="112"/>
      <c r="E127" s="112"/>
    </row>
    <row r="128" spans="1:5" ht="15.6" x14ac:dyDescent="0.3">
      <c r="A128" s="3"/>
      <c r="B128" s="7"/>
      <c r="D128" s="112"/>
      <c r="E128" s="112"/>
    </row>
    <row r="129" spans="1:5" ht="15.6" x14ac:dyDescent="0.3">
      <c r="A129" s="3"/>
      <c r="B129" s="7"/>
      <c r="D129" s="112"/>
      <c r="E129" s="112"/>
    </row>
    <row r="130" spans="1:5" ht="15.6" x14ac:dyDescent="0.3">
      <c r="A130" s="3"/>
      <c r="B130" s="7"/>
      <c r="D130" s="112"/>
      <c r="E130" s="112"/>
    </row>
    <row r="131" spans="1:5" ht="15.6" x14ac:dyDescent="0.3">
      <c r="A131" s="3"/>
      <c r="B131" s="7"/>
      <c r="D131" s="112"/>
      <c r="E131" s="112"/>
    </row>
    <row r="132" spans="1:5" ht="15.6" x14ac:dyDescent="0.3">
      <c r="A132" s="3"/>
      <c r="B132" s="7"/>
      <c r="D132" s="112"/>
      <c r="E132" s="112"/>
    </row>
    <row r="133" spans="1:5" ht="15.6" x14ac:dyDescent="0.3">
      <c r="A133" s="3"/>
      <c r="B133" s="7"/>
      <c r="D133" s="112"/>
      <c r="E133" s="112"/>
    </row>
    <row r="134" spans="1:5" ht="15.6" x14ac:dyDescent="0.3">
      <c r="A134" s="3"/>
      <c r="B134" s="7"/>
      <c r="D134" s="112"/>
      <c r="E134" s="112"/>
    </row>
    <row r="135" spans="1:5" ht="15.6" x14ac:dyDescent="0.3">
      <c r="A135" s="3"/>
      <c r="B135" s="7"/>
      <c r="D135" s="112"/>
      <c r="E135" s="112"/>
    </row>
    <row r="136" spans="1:5" ht="15.6" x14ac:dyDescent="0.3">
      <c r="A136" s="3"/>
      <c r="B136" s="7"/>
      <c r="D136" s="112"/>
      <c r="E136" s="112"/>
    </row>
    <row r="137" spans="1:5" ht="15.6" x14ac:dyDescent="0.3">
      <c r="A137" s="3"/>
      <c r="B137" s="7"/>
      <c r="D137" s="112"/>
      <c r="E137" s="112"/>
    </row>
    <row r="138" spans="1:5" ht="15.6" x14ac:dyDescent="0.3">
      <c r="A138" s="3"/>
      <c r="B138" s="7"/>
      <c r="D138" s="112"/>
      <c r="E138" s="112"/>
    </row>
    <row r="139" spans="1:5" ht="15.6" x14ac:dyDescent="0.3">
      <c r="A139" s="3"/>
      <c r="B139" s="7"/>
      <c r="D139" s="112"/>
      <c r="E139" s="112"/>
    </row>
    <row r="140" spans="1:5" ht="15.6" x14ac:dyDescent="0.3">
      <c r="A140" s="3"/>
      <c r="B140" s="7"/>
      <c r="D140" s="112"/>
      <c r="E140" s="112"/>
    </row>
    <row r="141" spans="1:5" ht="15.6" x14ac:dyDescent="0.3">
      <c r="A141" s="3"/>
      <c r="B141" s="7"/>
      <c r="D141" s="112"/>
      <c r="E141" s="112"/>
    </row>
  </sheetData>
  <mergeCells count="1">
    <mergeCell ref="C8:CZ8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2"/>
  <dimension ref="A1:CZ145"/>
  <sheetViews>
    <sheetView topLeftCell="A113" zoomScale="130" zoomScaleNormal="130" workbookViewId="0">
      <selection activeCell="E31" sqref="E31:E130"/>
    </sheetView>
  </sheetViews>
  <sheetFormatPr defaultRowHeight="14.4" x14ac:dyDescent="0.3"/>
  <cols>
    <col min="1" max="1" width="24.77734375" bestFit="1" customWidth="1"/>
    <col min="2" max="2" width="18" bestFit="1" customWidth="1"/>
    <col min="3" max="3" width="25" customWidth="1"/>
    <col min="4" max="4" width="24.33203125" bestFit="1" customWidth="1"/>
    <col min="5" max="5" width="22.6640625" bestFit="1" customWidth="1"/>
    <col min="6" max="6" width="20.5546875" bestFit="1" customWidth="1"/>
    <col min="7" max="7" width="25.33203125" bestFit="1" customWidth="1"/>
    <col min="8" max="101" width="22.6640625" bestFit="1" customWidth="1"/>
    <col min="102" max="103" width="21.5546875" bestFit="1" customWidth="1"/>
    <col min="104" max="104" width="16.21875" bestFit="1" customWidth="1"/>
  </cols>
  <sheetData>
    <row r="1" spans="1:104" x14ac:dyDescent="0.3">
      <c r="A1" s="12" t="s">
        <v>12</v>
      </c>
    </row>
    <row r="2" spans="1:104" x14ac:dyDescent="0.3">
      <c r="A2" s="12" t="s">
        <v>25</v>
      </c>
      <c r="B2" s="123">
        <f>'Numero dei sinistri'!D49</f>
        <v>0.10311008353221957</v>
      </c>
      <c r="D2" t="s">
        <v>29</v>
      </c>
      <c r="E2" s="132">
        <f>'Numero dei sinistri'!D53</f>
        <v>2.009148253958327</v>
      </c>
    </row>
    <row r="3" spans="1:104" x14ac:dyDescent="0.3">
      <c r="A3" s="12" t="s">
        <v>26</v>
      </c>
      <c r="B3" s="123">
        <f>'Numero dei sinistri'!D50</f>
        <v>0.10840172356180686</v>
      </c>
      <c r="D3" t="s">
        <v>30</v>
      </c>
      <c r="E3" s="132">
        <f>'Numero dei sinistri'!D56</f>
        <v>19.485468201861302</v>
      </c>
    </row>
    <row r="4" spans="1:104" x14ac:dyDescent="0.3">
      <c r="E4" s="107"/>
    </row>
    <row r="5" spans="1:104" x14ac:dyDescent="0.3">
      <c r="A5" s="12" t="s">
        <v>11</v>
      </c>
      <c r="B5" s="11">
        <f>'POISSON-LOGNORM'!B3</f>
        <v>400</v>
      </c>
      <c r="E5" s="107"/>
    </row>
    <row r="6" spans="1:104" x14ac:dyDescent="0.3">
      <c r="E6" s="107"/>
    </row>
    <row r="7" spans="1:104" x14ac:dyDescent="0.3">
      <c r="A7" s="12" t="s">
        <v>27</v>
      </c>
      <c r="B7" s="133">
        <f>E7/E8</f>
        <v>41.244033412887831</v>
      </c>
      <c r="D7" t="s">
        <v>16</v>
      </c>
      <c r="E7" s="132">
        <f>E2*B5</f>
        <v>803.65930158333083</v>
      </c>
    </row>
    <row r="8" spans="1:104" x14ac:dyDescent="0.3">
      <c r="A8" s="12" t="s">
        <v>28</v>
      </c>
      <c r="B8" s="133">
        <f>B7*(1+1/E8)</f>
        <v>43.360689424722743</v>
      </c>
      <c r="D8" t="s">
        <v>17</v>
      </c>
      <c r="E8" s="132">
        <f>E3</f>
        <v>19.485468201861302</v>
      </c>
    </row>
    <row r="9" spans="1:104" x14ac:dyDescent="0.3">
      <c r="A9" s="12" t="s">
        <v>3</v>
      </c>
      <c r="B9" s="11"/>
      <c r="C9" s="174">
        <f>C10</f>
        <v>3.4074218545519815E-18</v>
      </c>
      <c r="D9" s="173">
        <f>C9+D10</f>
        <v>1.3708297375529948E-16</v>
      </c>
      <c r="E9" s="173">
        <f t="shared" ref="E9:BP9" si="0">D9+E10</f>
        <v>2.7624385470647888E-15</v>
      </c>
      <c r="F9" s="171">
        <f t="shared" si="0"/>
        <v>3.7179390712994904E-14</v>
      </c>
      <c r="G9" s="173">
        <f t="shared" si="0"/>
        <v>3.7598974060621309E-13</v>
      </c>
      <c r="H9" s="173">
        <f t="shared" si="0"/>
        <v>3.047574572034156E-12</v>
      </c>
      <c r="I9" s="173">
        <f t="shared" si="0"/>
        <v>2.0624277421543573E-11</v>
      </c>
      <c r="J9" s="173">
        <f t="shared" si="0"/>
        <v>1.1986634092473108E-10</v>
      </c>
      <c r="K9" s="173">
        <f t="shared" si="0"/>
        <v>6.1077226686222542E-10</v>
      </c>
      <c r="L9" s="173">
        <f t="shared" si="0"/>
        <v>2.7719159455762373E-9</v>
      </c>
      <c r="M9" s="173">
        <f t="shared" si="0"/>
        <v>1.1345181126820105E-8</v>
      </c>
      <c r="N9" s="173">
        <f t="shared" si="0"/>
        <v>4.2301568405494079E-8</v>
      </c>
      <c r="O9" s="173">
        <f t="shared" si="0"/>
        <v>1.4489017980343562E-7</v>
      </c>
      <c r="P9" s="173">
        <f t="shared" si="0"/>
        <v>4.590992357761201E-7</v>
      </c>
      <c r="Q9" s="173">
        <f t="shared" si="0"/>
        <v>1.3538162185426629E-6</v>
      </c>
      <c r="R9" s="173">
        <f t="shared" si="0"/>
        <v>3.7346052280486499E-6</v>
      </c>
      <c r="S9" s="173">
        <f t="shared" si="0"/>
        <v>9.6810615420247664E-6</v>
      </c>
      <c r="T9" s="173">
        <f t="shared" si="0"/>
        <v>2.3676831275508313E-5</v>
      </c>
      <c r="U9" s="173">
        <f t="shared" si="0"/>
        <v>5.4825628780328332E-5</v>
      </c>
      <c r="V9" s="173">
        <f t="shared" si="0"/>
        <v>1.2058135312515819E-4</v>
      </c>
      <c r="W9" s="173">
        <f t="shared" si="0"/>
        <v>2.5261289307236025E-4</v>
      </c>
      <c r="X9" s="173">
        <f t="shared" si="0"/>
        <v>5.0540301938295517E-4</v>
      </c>
      <c r="Y9" s="173">
        <f t="shared" si="0"/>
        <v>9.6796090976887387E-4</v>
      </c>
      <c r="Z9" s="173">
        <f t="shared" si="0"/>
        <v>1.7785359772615758E-3</v>
      </c>
      <c r="AA9" s="173">
        <f t="shared" si="0"/>
        <v>3.1414318045450843E-3</v>
      </c>
      <c r="AB9" s="173">
        <f t="shared" si="0"/>
        <v>5.343994904250686E-3</v>
      </c>
      <c r="AC9" s="173">
        <f t="shared" si="0"/>
        <v>8.7707662471779944E-3</v>
      </c>
      <c r="AD9" s="173">
        <f t="shared" si="0"/>
        <v>1.3910909875648438E-2</v>
      </c>
      <c r="AE9" s="173">
        <f t="shared" si="0"/>
        <v>2.1354702425828896E-2</v>
      </c>
      <c r="AF9" s="173">
        <f t="shared" si="0"/>
        <v>3.1775376633233036E-2</v>
      </c>
      <c r="AG9" s="173">
        <f t="shared" si="0"/>
        <v>4.589411879403979E-2</v>
      </c>
      <c r="AH9" s="173">
        <f t="shared" si="0"/>
        <v>6.4428454250970768E-2</v>
      </c>
      <c r="AI9" s="173">
        <f t="shared" si="0"/>
        <v>8.802727948795569E-2</v>
      </c>
      <c r="AJ9" s="173">
        <f t="shared" si="0"/>
        <v>0.11719884936639821</v>
      </c>
      <c r="AK9" s="173">
        <f t="shared" si="0"/>
        <v>0.15224042563960399</v>
      </c>
      <c r="AL9" s="173">
        <f t="shared" si="0"/>
        <v>0.1931794143595976</v>
      </c>
      <c r="AM9" s="173">
        <f t="shared" si="0"/>
        <v>0.23973526684802174</v>
      </c>
      <c r="AN9" s="173">
        <f t="shared" si="0"/>
        <v>0.29130914245458728</v>
      </c>
      <c r="AO9" s="16">
        <f t="shared" si="0"/>
        <v>0.34700466720430595</v>
      </c>
      <c r="AP9" s="173">
        <f t="shared" si="0"/>
        <v>0.405678725247203</v>
      </c>
      <c r="AQ9" s="173">
        <f t="shared" si="0"/>
        <v>0.46601691264459322</v>
      </c>
      <c r="AR9" s="173">
        <f t="shared" si="0"/>
        <v>0.52662486443739465</v>
      </c>
      <c r="AS9" s="173">
        <f t="shared" si="0"/>
        <v>0.58612473100396056</v>
      </c>
      <c r="AT9" s="173">
        <f t="shared" si="0"/>
        <v>0.64324589805506882</v>
      </c>
      <c r="AU9" s="173">
        <f t="shared" si="0"/>
        <v>0.69690052568556238</v>
      </c>
      <c r="AV9" s="173">
        <f t="shared" si="0"/>
        <v>0.74623722701703543</v>
      </c>
      <c r="AW9" s="173">
        <f t="shared" si="0"/>
        <v>0.7906696256344049</v>
      </c>
      <c r="AX9" s="173">
        <f t="shared" si="0"/>
        <v>0.82987998498798943</v>
      </c>
      <c r="AY9" s="173">
        <f t="shared" si="0"/>
        <v>0.86380103959228149</v>
      </c>
      <c r="AZ9" s="173">
        <f t="shared" si="0"/>
        <v>0.89258120367637306</v>
      </c>
      <c r="BA9" s="173">
        <f t="shared" si="0"/>
        <v>0.9165393327907132</v>
      </c>
      <c r="BB9" s="173">
        <f t="shared" si="0"/>
        <v>0.93611521789864283</v>
      </c>
      <c r="BC9" s="173">
        <f t="shared" si="0"/>
        <v>0.95182120343073229</v>
      </c>
      <c r="BD9" s="173">
        <f t="shared" si="0"/>
        <v>0.96419902747970676</v>
      </c>
      <c r="BE9" s="173">
        <f t="shared" si="0"/>
        <v>0.97378448364617121</v>
      </c>
      <c r="BF9" s="173">
        <f t="shared" si="0"/>
        <v>0.98108105785457922</v>
      </c>
      <c r="BG9" s="173">
        <f t="shared" si="0"/>
        <v>0.98654248269416844</v>
      </c>
      <c r="BH9" s="173">
        <f t="shared" si="0"/>
        <v>0.99056327442311631</v>
      </c>
      <c r="BI9" s="173">
        <f t="shared" si="0"/>
        <v>0.99347579469421321</v>
      </c>
      <c r="BJ9" s="173">
        <f t="shared" si="0"/>
        <v>0.99555217371063609</v>
      </c>
      <c r="BK9" s="173">
        <f t="shared" si="0"/>
        <v>0.99700947314397048</v>
      </c>
      <c r="BL9" s="173">
        <f t="shared" si="0"/>
        <v>0.99801667269010497</v>
      </c>
      <c r="BM9" s="173">
        <f t="shared" si="0"/>
        <v>0.99870235501609939</v>
      </c>
      <c r="BN9" s="173">
        <f t="shared" si="0"/>
        <v>0.99916227630365417</v>
      </c>
      <c r="BO9" s="173">
        <f t="shared" si="0"/>
        <v>0.99946629902747586</v>
      </c>
      <c r="BP9" s="173">
        <f t="shared" si="0"/>
        <v>0.99966440429418513</v>
      </c>
      <c r="BQ9" s="173">
        <f t="shared" ref="BQ9:CZ9" si="1">BP9+BQ10</f>
        <v>0.99979168297521559</v>
      </c>
      <c r="BR9" s="173">
        <f t="shared" si="1"/>
        <v>0.99987232921364799</v>
      </c>
      <c r="BS9" s="173">
        <f t="shared" si="1"/>
        <v>0.99992273467017556</v>
      </c>
      <c r="BT9" s="173">
        <f t="shared" si="1"/>
        <v>0.99995381812880579</v>
      </c>
      <c r="BU9" s="173">
        <f t="shared" si="1"/>
        <v>0.99997273416447119</v>
      </c>
      <c r="BV9" s="173">
        <f t="shared" si="1"/>
        <v>0.99998409650984743</v>
      </c>
      <c r="BW9" s="173">
        <f t="shared" si="1"/>
        <v>0.99999083447118153</v>
      </c>
      <c r="BX9" s="173">
        <f t="shared" si="1"/>
        <v>0.99999477990647556</v>
      </c>
      <c r="BY9" s="173">
        <f t="shared" si="1"/>
        <v>0.99999706155190982</v>
      </c>
      <c r="BZ9" s="173">
        <f t="shared" si="1"/>
        <v>0.99999836491962302</v>
      </c>
      <c r="CA9" s="173">
        <f t="shared" si="1"/>
        <v>0.99999910049635454</v>
      </c>
      <c r="CB9" s="173">
        <f t="shared" si="1"/>
        <v>0.99999951070599491</v>
      </c>
      <c r="CC9" s="173">
        <f t="shared" si="1"/>
        <v>0.9999997367917981</v>
      </c>
      <c r="CD9" s="173">
        <f t="shared" si="1"/>
        <v>0.99999985996070873</v>
      </c>
      <c r="CE9" s="173">
        <f t="shared" si="1"/>
        <v>0.99999992629808965</v>
      </c>
      <c r="CF9" s="173">
        <f t="shared" si="1"/>
        <v>0.99999996162553728</v>
      </c>
      <c r="CG9" s="173">
        <f t="shared" si="1"/>
        <v>0.99999998023048964</v>
      </c>
      <c r="CH9" s="173">
        <f t="shared" si="1"/>
        <v>0.99999998992154926</v>
      </c>
      <c r="CI9" s="173">
        <f t="shared" si="1"/>
        <v>0.999999994915024</v>
      </c>
      <c r="CJ9" s="173">
        <f t="shared" si="1"/>
        <v>0.99999999746058987</v>
      </c>
      <c r="CK9" s="173">
        <f t="shared" si="1"/>
        <v>0.9999999987446202</v>
      </c>
      <c r="CL9" s="173">
        <f t="shared" si="1"/>
        <v>0.99999999938558459</v>
      </c>
      <c r="CM9" s="173">
        <f t="shared" si="1"/>
        <v>0.99999999970226183</v>
      </c>
      <c r="CN9" s="173">
        <f t="shared" si="1"/>
        <v>0.99999999985713639</v>
      </c>
      <c r="CO9" s="173">
        <f t="shared" si="1"/>
        <v>0.99999999993212185</v>
      </c>
      <c r="CP9" s="173">
        <f t="shared" si="1"/>
        <v>0.99999999996806876</v>
      </c>
      <c r="CQ9" s="173">
        <f t="shared" si="1"/>
        <v>0.999999999985133</v>
      </c>
      <c r="CR9" s="173">
        <f t="shared" si="1"/>
        <v>0.99999999999315536</v>
      </c>
      <c r="CS9" s="173">
        <f t="shared" si="1"/>
        <v>0.99999999999689093</v>
      </c>
      <c r="CT9" s="173">
        <f t="shared" si="1"/>
        <v>0.999999999998614</v>
      </c>
      <c r="CU9" s="173">
        <f t="shared" si="1"/>
        <v>0.99999999999940137</v>
      </c>
      <c r="CV9" s="173">
        <f t="shared" si="1"/>
        <v>0.99999999999975786</v>
      </c>
      <c r="CW9" s="173">
        <f t="shared" si="1"/>
        <v>0.99999999999991773</v>
      </c>
      <c r="CX9" s="172">
        <f t="shared" si="1"/>
        <v>0.99999999999998879</v>
      </c>
      <c r="CY9" s="172">
        <f t="shared" si="1"/>
        <v>1.0000000000000202</v>
      </c>
      <c r="CZ9" s="175">
        <f t="shared" si="1"/>
        <v>1.000000000000034</v>
      </c>
    </row>
    <row r="10" spans="1:104" x14ac:dyDescent="0.3">
      <c r="A10" s="12" t="s">
        <v>2</v>
      </c>
      <c r="B10" s="11"/>
      <c r="C10" s="174">
        <f>(E8/(1+E8))^E7</f>
        <v>3.4074218545519815E-18</v>
      </c>
      <c r="D10" s="170">
        <f>C10*(D11+$E$7-1)/(D11*(1+$E$8))</f>
        <v>1.336755519007475E-16</v>
      </c>
      <c r="E10" s="170">
        <f t="shared" ref="E10:BP10" si="2">D10*(E11+$E$7-1)/(E11*(1+$E$8))</f>
        <v>2.6253555733094894E-15</v>
      </c>
      <c r="F10" s="170">
        <f t="shared" si="2"/>
        <v>3.4416952165930113E-14</v>
      </c>
      <c r="G10" s="170">
        <f t="shared" si="2"/>
        <v>3.3881034989321817E-13</v>
      </c>
      <c r="H10" s="170">
        <f t="shared" si="2"/>
        <v>2.6715848314279428E-12</v>
      </c>
      <c r="I10" s="170">
        <f t="shared" si="2"/>
        <v>1.7576702849509418E-11</v>
      </c>
      <c r="J10" s="170">
        <f t="shared" si="2"/>
        <v>9.9242063503187505E-11</v>
      </c>
      <c r="K10" s="170">
        <f t="shared" si="2"/>
        <v>4.9090592593749431E-10</v>
      </c>
      <c r="L10" s="170">
        <f t="shared" si="2"/>
        <v>2.1611436787140118E-9</v>
      </c>
      <c r="M10" s="170">
        <f t="shared" si="2"/>
        <v>8.5732651812438684E-9</v>
      </c>
      <c r="N10" s="170">
        <f t="shared" si="2"/>
        <v>3.0956387278673976E-8</v>
      </c>
      <c r="O10" s="170">
        <f t="shared" si="2"/>
        <v>1.0258861139794154E-7</v>
      </c>
      <c r="P10" s="170">
        <f t="shared" si="2"/>
        <v>3.1420905597268448E-7</v>
      </c>
      <c r="Q10" s="170">
        <f t="shared" si="2"/>
        <v>8.9471698276654287E-7</v>
      </c>
      <c r="R10" s="170">
        <f t="shared" si="2"/>
        <v>2.380789009505987E-6</v>
      </c>
      <c r="S10" s="170">
        <f t="shared" si="2"/>
        <v>5.9464563139761157E-6</v>
      </c>
      <c r="T10" s="170">
        <f t="shared" si="2"/>
        <v>1.3995769733483547E-5</v>
      </c>
      <c r="U10" s="170">
        <f t="shared" si="2"/>
        <v>3.1148797504820016E-5</v>
      </c>
      <c r="V10" s="170">
        <f t="shared" si="2"/>
        <v>6.5755724344829854E-5</v>
      </c>
      <c r="W10" s="170">
        <f t="shared" si="2"/>
        <v>1.3203153994720206E-4</v>
      </c>
      <c r="X10" s="170">
        <f t="shared" si="2"/>
        <v>2.5279012631059493E-4</v>
      </c>
      <c r="Y10" s="170">
        <f t="shared" si="2"/>
        <v>4.6255789038591864E-4</v>
      </c>
      <c r="Z10" s="170">
        <f t="shared" si="2"/>
        <v>8.1057506749270198E-4</v>
      </c>
      <c r="AA10" s="170">
        <f t="shared" si="2"/>
        <v>1.3628958272835082E-3</v>
      </c>
      <c r="AB10" s="170">
        <f t="shared" si="2"/>
        <v>2.2025630997056021E-3</v>
      </c>
      <c r="AC10" s="170">
        <f t="shared" si="2"/>
        <v>3.4267713429273088E-3</v>
      </c>
      <c r="AD10" s="170">
        <f t="shared" si="2"/>
        <v>5.140143628470443E-3</v>
      </c>
      <c r="AE10" s="170">
        <f t="shared" si="2"/>
        <v>7.4437925501804562E-3</v>
      </c>
      <c r="AF10" s="170">
        <f t="shared" si="2"/>
        <v>1.042067420740414E-2</v>
      </c>
      <c r="AG10" s="170">
        <f t="shared" si="2"/>
        <v>1.4118742160806757E-2</v>
      </c>
      <c r="AH10" s="170">
        <f t="shared" si="2"/>
        <v>1.8534335456930975E-2</v>
      </c>
      <c r="AI10" s="170">
        <f t="shared" si="2"/>
        <v>2.3598825236984922E-2</v>
      </c>
      <c r="AJ10" s="170">
        <f t="shared" si="2"/>
        <v>2.9171569878442515E-2</v>
      </c>
      <c r="AK10" s="170">
        <f t="shared" si="2"/>
        <v>3.5041576273205768E-2</v>
      </c>
      <c r="AL10" s="170">
        <f t="shared" si="2"/>
        <v>4.0938988719993602E-2</v>
      </c>
      <c r="AM10" s="170">
        <f t="shared" si="2"/>
        <v>4.6555852488424143E-2</v>
      </c>
      <c r="AN10" s="170">
        <f t="shared" si="2"/>
        <v>5.1573875606565532E-2</v>
      </c>
      <c r="AO10" s="16">
        <f t="shared" si="2"/>
        <v>5.5695524749718679E-2</v>
      </c>
      <c r="AP10" s="170">
        <f t="shared" si="2"/>
        <v>5.8674058042897055E-2</v>
      </c>
      <c r="AQ10" s="170">
        <f t="shared" si="2"/>
        <v>6.0338187397390247E-2</v>
      </c>
      <c r="AR10" s="170">
        <f t="shared" si="2"/>
        <v>6.060795179280138E-2</v>
      </c>
      <c r="AS10" s="170">
        <f t="shared" si="2"/>
        <v>5.9499866566565897E-2</v>
      </c>
      <c r="AT10" s="170">
        <f t="shared" si="2"/>
        <v>5.7121167051108257E-2</v>
      </c>
      <c r="AU10" s="170">
        <f t="shared" si="2"/>
        <v>5.3654627630493522E-2</v>
      </c>
      <c r="AV10" s="170">
        <f t="shared" si="2"/>
        <v>4.9336701331472999E-2</v>
      </c>
      <c r="AW10" s="170">
        <f t="shared" si="2"/>
        <v>4.4432398617369508E-2</v>
      </c>
      <c r="AX10" s="170">
        <f t="shared" si="2"/>
        <v>3.9210359353584551E-2</v>
      </c>
      <c r="AY10" s="170">
        <f t="shared" si="2"/>
        <v>3.3921054604292081E-2</v>
      </c>
      <c r="AZ10" s="170">
        <f t="shared" si="2"/>
        <v>2.8780164084091574E-2</v>
      </c>
      <c r="BA10" s="170">
        <f t="shared" si="2"/>
        <v>2.3958129114340199E-2</v>
      </c>
      <c r="BB10" s="170">
        <f t="shared" si="2"/>
        <v>1.9575885107929635E-2</v>
      </c>
      <c r="BC10" s="170">
        <f t="shared" si="2"/>
        <v>1.5705985532089486E-2</v>
      </c>
      <c r="BD10" s="170">
        <f t="shared" si="2"/>
        <v>1.237782404897452E-2</v>
      </c>
      <c r="BE10" s="170">
        <f t="shared" si="2"/>
        <v>9.5854561664644091E-3</v>
      </c>
      <c r="BF10" s="170">
        <f t="shared" si="2"/>
        <v>7.2965742084080097E-3</v>
      </c>
      <c r="BG10" s="170">
        <f t="shared" si="2"/>
        <v>5.461424839589204E-3</v>
      </c>
      <c r="BH10" s="170">
        <f t="shared" si="2"/>
        <v>4.0207917289478735E-3</v>
      </c>
      <c r="BI10" s="170">
        <f t="shared" si="2"/>
        <v>2.9125202710969453E-3</v>
      </c>
      <c r="BJ10" s="170">
        <f t="shared" si="2"/>
        <v>2.0763790164229239E-3</v>
      </c>
      <c r="BK10" s="170">
        <f t="shared" si="2"/>
        <v>1.457299433334353E-3</v>
      </c>
      <c r="BL10" s="170">
        <f t="shared" si="2"/>
        <v>1.007199546134514E-3</v>
      </c>
      <c r="BM10" s="170">
        <f t="shared" si="2"/>
        <v>6.8568232599443854E-4</v>
      </c>
      <c r="BN10" s="170">
        <f t="shared" si="2"/>
        <v>4.5992128755473232E-4</v>
      </c>
      <c r="BO10" s="170">
        <f t="shared" si="2"/>
        <v>3.0402272382166801E-4</v>
      </c>
      <c r="BP10" s="170">
        <f t="shared" si="2"/>
        <v>1.9810526670924005E-4</v>
      </c>
      <c r="BQ10" s="170">
        <f t="shared" ref="BQ10:CZ10" si="3">BP10*(BQ11+$E$7-1)/(BQ11*(1+$E$8))</f>
        <v>1.2727868103047611E-4</v>
      </c>
      <c r="BR10" s="170">
        <f t="shared" si="3"/>
        <v>8.0646238432374864E-5</v>
      </c>
      <c r="BS10" s="170">
        <f t="shared" si="3"/>
        <v>5.0405456527525008E-5</v>
      </c>
      <c r="BT10" s="170">
        <f t="shared" si="3"/>
        <v>3.1083458630232466E-5</v>
      </c>
      <c r="BU10" s="170">
        <f t="shared" si="3"/>
        <v>1.8916035665424546E-5</v>
      </c>
      <c r="BV10" s="170">
        <f t="shared" si="3"/>
        <v>1.1362345376260305E-5</v>
      </c>
      <c r="BW10" s="170">
        <f t="shared" si="3"/>
        <v>6.7379613340884186E-6</v>
      </c>
      <c r="BX10" s="170">
        <f t="shared" si="3"/>
        <v>3.9454352940591516E-6</v>
      </c>
      <c r="BY10" s="170">
        <f t="shared" si="3"/>
        <v>2.2816454342365362E-6</v>
      </c>
      <c r="BZ10" s="170">
        <f t="shared" si="3"/>
        <v>1.3033677131778627E-6</v>
      </c>
      <c r="CA10" s="170">
        <f t="shared" si="3"/>
        <v>7.3557673155525601E-7</v>
      </c>
      <c r="CB10" s="170">
        <f t="shared" si="3"/>
        <v>4.1020964040854997E-7</v>
      </c>
      <c r="CC10" s="170">
        <f t="shared" si="3"/>
        <v>2.2608580313864625E-7</v>
      </c>
      <c r="CD10" s="170">
        <f t="shared" si="3"/>
        <v>1.23168910581675E-7</v>
      </c>
      <c r="CE10" s="170">
        <f t="shared" si="3"/>
        <v>6.6337380917734571E-8</v>
      </c>
      <c r="CF10" s="170">
        <f t="shared" si="3"/>
        <v>3.532744761756878E-8</v>
      </c>
      <c r="CG10" s="170">
        <f t="shared" si="3"/>
        <v>1.8604952371138353E-8</v>
      </c>
      <c r="CH10" s="170">
        <f t="shared" si="3"/>
        <v>9.6910595887829293E-9</v>
      </c>
      <c r="CI10" s="170">
        <f t="shared" si="3"/>
        <v>4.9934747483305464E-9</v>
      </c>
      <c r="CJ10" s="170">
        <f t="shared" si="3"/>
        <v>2.5455659097978967E-9</v>
      </c>
      <c r="CK10" s="170">
        <f t="shared" si="3"/>
        <v>1.2840303577720712E-9</v>
      </c>
      <c r="CL10" s="170">
        <f t="shared" si="3"/>
        <v>6.409643403480767E-10</v>
      </c>
      <c r="CM10" s="170">
        <f t="shared" si="3"/>
        <v>3.1667728274104982E-10</v>
      </c>
      <c r="CN10" s="170">
        <f t="shared" si="3"/>
        <v>1.5487451280633504E-10</v>
      </c>
      <c r="CO10" s="170">
        <f t="shared" si="3"/>
        <v>7.4985498702712539E-11</v>
      </c>
      <c r="CP10" s="170">
        <f t="shared" si="3"/>
        <v>3.594694420241084E-11</v>
      </c>
      <c r="CQ10" s="170">
        <f t="shared" si="3"/>
        <v>1.7064200189469036E-11</v>
      </c>
      <c r="CR10" s="170">
        <f t="shared" si="3"/>
        <v>8.0223191423862819E-12</v>
      </c>
      <c r="CS10" s="170">
        <f t="shared" si="3"/>
        <v>3.7355421841810199E-12</v>
      </c>
      <c r="CT10" s="170">
        <f t="shared" si="3"/>
        <v>1.7230412746833874E-12</v>
      </c>
      <c r="CU10" s="170">
        <f t="shared" si="3"/>
        <v>7.873605070353071E-13</v>
      </c>
      <c r="CV10" s="170">
        <f t="shared" si="3"/>
        <v>3.5647910044733871E-13</v>
      </c>
      <c r="CW10" s="170">
        <f t="shared" si="3"/>
        <v>1.599273134488166E-13</v>
      </c>
      <c r="CX10" s="170">
        <f t="shared" si="3"/>
        <v>7.1102360689074922E-14</v>
      </c>
      <c r="CY10" s="170">
        <f t="shared" si="3"/>
        <v>3.1330114893197784E-14</v>
      </c>
      <c r="CZ10" s="170">
        <f t="shared" si="3"/>
        <v>1.3683570769681246E-14</v>
      </c>
    </row>
    <row r="11" spans="1:104" x14ac:dyDescent="0.3">
      <c r="C11" s="15">
        <v>0</v>
      </c>
      <c r="D11" s="15">
        <v>1</v>
      </c>
      <c r="E11" s="15">
        <v>2</v>
      </c>
      <c r="F11" s="15">
        <v>3</v>
      </c>
      <c r="G11" s="15">
        <v>4</v>
      </c>
      <c r="H11" s="15">
        <v>5</v>
      </c>
      <c r="I11" s="15">
        <v>6</v>
      </c>
      <c r="J11" s="15">
        <v>7</v>
      </c>
      <c r="K11" s="15">
        <v>8</v>
      </c>
      <c r="L11" s="15">
        <v>9</v>
      </c>
      <c r="M11" s="15">
        <v>10</v>
      </c>
      <c r="N11" s="15">
        <v>11</v>
      </c>
      <c r="O11" s="15">
        <v>12</v>
      </c>
      <c r="P11" s="15">
        <v>13</v>
      </c>
      <c r="Q11" s="15">
        <v>14</v>
      </c>
      <c r="R11" s="15">
        <v>15</v>
      </c>
      <c r="S11" s="15">
        <v>16</v>
      </c>
      <c r="T11" s="15">
        <v>17</v>
      </c>
      <c r="U11" s="15">
        <v>18</v>
      </c>
      <c r="V11" s="15">
        <v>19</v>
      </c>
      <c r="W11" s="15">
        <v>20</v>
      </c>
      <c r="X11" s="15">
        <v>21</v>
      </c>
      <c r="Y11" s="15">
        <v>22</v>
      </c>
      <c r="Z11" s="15">
        <v>23</v>
      </c>
      <c r="AA11" s="15">
        <v>24</v>
      </c>
      <c r="AB11" s="15">
        <v>25</v>
      </c>
      <c r="AC11" s="15">
        <v>26</v>
      </c>
      <c r="AD11" s="15">
        <v>27</v>
      </c>
      <c r="AE11" s="15">
        <v>28</v>
      </c>
      <c r="AF11" s="15">
        <v>29</v>
      </c>
      <c r="AG11" s="15">
        <v>30</v>
      </c>
      <c r="AH11" s="15">
        <v>31</v>
      </c>
      <c r="AI11" s="15">
        <v>32</v>
      </c>
      <c r="AJ11" s="15">
        <v>33</v>
      </c>
      <c r="AK11" s="15">
        <v>34</v>
      </c>
      <c r="AL11" s="15">
        <v>35</v>
      </c>
      <c r="AM11" s="15">
        <v>36</v>
      </c>
      <c r="AN11" s="15">
        <v>37</v>
      </c>
      <c r="AO11" s="15">
        <v>38</v>
      </c>
      <c r="AP11" s="15">
        <v>39</v>
      </c>
      <c r="AQ11" s="15">
        <v>40</v>
      </c>
      <c r="AR11" s="15">
        <v>41</v>
      </c>
      <c r="AS11" s="15">
        <v>42</v>
      </c>
      <c r="AT11" s="15">
        <v>43</v>
      </c>
      <c r="AU11" s="15">
        <v>44</v>
      </c>
      <c r="AV11" s="15">
        <v>45</v>
      </c>
      <c r="AW11" s="15">
        <v>46</v>
      </c>
      <c r="AX11" s="15">
        <v>47</v>
      </c>
      <c r="AY11" s="15">
        <v>48</v>
      </c>
      <c r="AZ11" s="15">
        <v>49</v>
      </c>
      <c r="BA11" s="15">
        <v>50</v>
      </c>
      <c r="BB11" s="15">
        <v>51</v>
      </c>
      <c r="BC11" s="15">
        <v>52</v>
      </c>
      <c r="BD11" s="15">
        <v>53</v>
      </c>
      <c r="BE11" s="15">
        <v>54</v>
      </c>
      <c r="BF11" s="15">
        <v>55</v>
      </c>
      <c r="BG11" s="15">
        <v>56</v>
      </c>
      <c r="BH11" s="15">
        <v>57</v>
      </c>
      <c r="BI11" s="15">
        <v>58</v>
      </c>
      <c r="BJ11" s="15">
        <v>59</v>
      </c>
      <c r="BK11" s="15">
        <v>60</v>
      </c>
      <c r="BL11" s="15">
        <v>61</v>
      </c>
      <c r="BM11" s="15">
        <v>62</v>
      </c>
      <c r="BN11" s="15">
        <v>63</v>
      </c>
      <c r="BO11" s="15">
        <v>64</v>
      </c>
      <c r="BP11" s="15">
        <v>65</v>
      </c>
      <c r="BQ11" s="15">
        <v>66</v>
      </c>
      <c r="BR11" s="15">
        <v>67</v>
      </c>
      <c r="BS11" s="15">
        <v>68</v>
      </c>
      <c r="BT11" s="15">
        <v>69</v>
      </c>
      <c r="BU11" s="15">
        <v>70</v>
      </c>
      <c r="BV11" s="15">
        <v>71</v>
      </c>
      <c r="BW11" s="15">
        <v>72</v>
      </c>
      <c r="BX11" s="15">
        <v>73</v>
      </c>
      <c r="BY11" s="15">
        <v>74</v>
      </c>
      <c r="BZ11" s="15">
        <v>75</v>
      </c>
      <c r="CA11" s="15">
        <v>76</v>
      </c>
      <c r="CB11" s="15">
        <v>77</v>
      </c>
      <c r="CC11" s="15">
        <v>78</v>
      </c>
      <c r="CD11" s="15">
        <v>79</v>
      </c>
      <c r="CE11" s="15">
        <v>80</v>
      </c>
      <c r="CF11" s="15">
        <v>81</v>
      </c>
      <c r="CG11" s="15">
        <v>82</v>
      </c>
      <c r="CH11" s="15">
        <v>83</v>
      </c>
      <c r="CI11" s="15">
        <v>84</v>
      </c>
      <c r="CJ11" s="15">
        <v>85</v>
      </c>
      <c r="CK11" s="15">
        <v>86</v>
      </c>
      <c r="CL11" s="15">
        <v>87</v>
      </c>
      <c r="CM11" s="15">
        <v>88</v>
      </c>
      <c r="CN11" s="15">
        <v>89</v>
      </c>
      <c r="CO11" s="15">
        <v>90</v>
      </c>
      <c r="CP11" s="15">
        <v>91</v>
      </c>
      <c r="CQ11" s="15">
        <v>92</v>
      </c>
      <c r="CR11" s="15">
        <v>93</v>
      </c>
      <c r="CS11" s="15">
        <v>94</v>
      </c>
      <c r="CT11" s="15">
        <v>95</v>
      </c>
      <c r="CU11" s="15">
        <v>96</v>
      </c>
      <c r="CV11" s="15">
        <v>97</v>
      </c>
      <c r="CW11" s="15">
        <v>98</v>
      </c>
      <c r="CX11" s="15">
        <v>99</v>
      </c>
      <c r="CY11" s="15">
        <v>100</v>
      </c>
      <c r="CZ11" s="121">
        <v>101</v>
      </c>
    </row>
    <row r="12" spans="1:104" x14ac:dyDescent="0.3">
      <c r="C12" s="210" t="s">
        <v>1</v>
      </c>
      <c r="D12" s="210"/>
      <c r="E12" s="210"/>
      <c r="F12" s="210"/>
      <c r="G12" s="210"/>
      <c r="H12" s="210"/>
      <c r="I12" s="210"/>
      <c r="J12" s="210"/>
      <c r="K12" s="210"/>
      <c r="L12" s="210"/>
      <c r="M12" s="210"/>
      <c r="N12" s="210"/>
      <c r="O12" s="210"/>
      <c r="P12" s="210"/>
      <c r="Q12" s="210"/>
      <c r="R12" s="210"/>
      <c r="S12" s="210"/>
      <c r="T12" s="210"/>
      <c r="U12" s="210"/>
      <c r="V12" s="210"/>
      <c r="W12" s="210"/>
      <c r="X12" s="210"/>
      <c r="Y12" s="210"/>
      <c r="Z12" s="210"/>
      <c r="AA12" s="210"/>
      <c r="AB12" s="210"/>
      <c r="AC12" s="210"/>
      <c r="AD12" s="210"/>
      <c r="AE12" s="210"/>
      <c r="AF12" s="210"/>
      <c r="AG12" s="210"/>
      <c r="AH12" s="210"/>
      <c r="AI12" s="210"/>
      <c r="AJ12" s="210"/>
      <c r="AK12" s="210"/>
      <c r="AL12" s="210"/>
      <c r="AM12" s="210"/>
      <c r="AN12" s="210"/>
      <c r="AO12" s="210"/>
      <c r="AP12" s="210"/>
      <c r="AQ12" s="210"/>
      <c r="AR12" s="210"/>
      <c r="AS12" s="210"/>
      <c r="AT12" s="210"/>
      <c r="AU12" s="210"/>
      <c r="AV12" s="210"/>
      <c r="AW12" s="210"/>
      <c r="AX12" s="210"/>
      <c r="AY12" s="210"/>
      <c r="AZ12" s="210"/>
      <c r="BA12" s="210"/>
      <c r="BB12" s="210"/>
      <c r="BC12" s="210"/>
      <c r="BD12" s="210"/>
      <c r="BE12" s="210"/>
      <c r="BF12" s="210"/>
      <c r="BG12" s="210"/>
      <c r="BH12" s="210"/>
      <c r="BI12" s="210"/>
      <c r="BJ12" s="210"/>
      <c r="BK12" s="210"/>
      <c r="BL12" s="210"/>
      <c r="BM12" s="210"/>
      <c r="BN12" s="210"/>
      <c r="BO12" s="210"/>
      <c r="BP12" s="210"/>
      <c r="BQ12" s="210"/>
      <c r="BR12" s="210"/>
      <c r="BS12" s="210"/>
      <c r="BT12" s="210"/>
      <c r="BU12" s="210"/>
      <c r="BV12" s="210"/>
      <c r="BW12" s="210"/>
      <c r="BX12" s="210"/>
      <c r="BY12" s="210"/>
      <c r="BZ12" s="210"/>
      <c r="CA12" s="210"/>
      <c r="CB12" s="210"/>
      <c r="CC12" s="210"/>
      <c r="CD12" s="210"/>
      <c r="CE12" s="210"/>
      <c r="CF12" s="210"/>
      <c r="CG12" s="210"/>
      <c r="CH12" s="210"/>
      <c r="CI12" s="210"/>
      <c r="CJ12" s="210"/>
      <c r="CK12" s="210"/>
      <c r="CL12" s="210"/>
      <c r="CM12" s="210"/>
      <c r="CN12" s="210"/>
      <c r="CO12" s="210"/>
      <c r="CP12" s="210"/>
      <c r="CQ12" s="210"/>
      <c r="CR12" s="210"/>
      <c r="CS12" s="210"/>
      <c r="CT12" s="210"/>
      <c r="CU12" s="210"/>
      <c r="CV12" s="210"/>
      <c r="CW12" s="210"/>
      <c r="CX12" s="210"/>
      <c r="CY12" s="210"/>
      <c r="CZ12" s="210"/>
    </row>
    <row r="13" spans="1:104" x14ac:dyDescent="0.3"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</row>
    <row r="14" spans="1:104" x14ac:dyDescent="0.3"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</row>
    <row r="15" spans="1:104" x14ac:dyDescent="0.3"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</row>
    <row r="16" spans="1:104" x14ac:dyDescent="0.3"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</row>
    <row r="17" spans="1:12" x14ac:dyDescent="0.3">
      <c r="A17" s="12" t="s">
        <v>6</v>
      </c>
    </row>
    <row r="18" spans="1:12" x14ac:dyDescent="0.3">
      <c r="A18" s="12" t="s">
        <v>4</v>
      </c>
      <c r="B18" s="125">
        <f ca="1">'POISSON-LOGNORM'!B14</f>
        <v>0.85096149205175065</v>
      </c>
      <c r="C18" s="176" t="s">
        <v>86</v>
      </c>
    </row>
    <row r="19" spans="1:12" x14ac:dyDescent="0.3">
      <c r="A19" s="12" t="s">
        <v>7</v>
      </c>
      <c r="B19" s="120">
        <f ca="1">HLOOKUP(B18,C9:CZ11,3)+1</f>
        <v>48</v>
      </c>
      <c r="C19" s="176">
        <f ca="1">'POISSON-LOGNORM'!B15</f>
        <v>48</v>
      </c>
    </row>
    <row r="20" spans="1:12" x14ac:dyDescent="0.3">
      <c r="A20" s="17"/>
    </row>
    <row r="23" spans="1:12" ht="15.6" x14ac:dyDescent="0.3">
      <c r="A23" s="108" t="str">
        <f>'POISSON-LOGNORM'!A19</f>
        <v>E(Y)</v>
      </c>
      <c r="B23" s="122">
        <f>'POISSON-LOGNORM'!B19</f>
        <v>2705.6966546112117</v>
      </c>
      <c r="C23" s="185">
        <f ca="1">AVERAGE(E31:E130)</f>
        <v>858.25438064868183</v>
      </c>
      <c r="K23" s="3"/>
      <c r="L23" s="3"/>
    </row>
    <row r="24" spans="1:12" ht="15.6" x14ac:dyDescent="0.3">
      <c r="A24" s="108" t="str">
        <f>'POISSON-LOGNORM'!A20</f>
        <v>VAR(Y)</v>
      </c>
      <c r="B24" s="122">
        <f>'POISSON-LOGNORM'!B20</f>
        <v>43464634.840395682</v>
      </c>
      <c r="K24" s="3"/>
      <c r="L24" s="3"/>
    </row>
    <row r="25" spans="1:12" ht="15.6" x14ac:dyDescent="0.3">
      <c r="A25" s="108" t="str">
        <f>'POISSON-LOGNORM'!A21</f>
        <v>DS(Y)</v>
      </c>
      <c r="B25" s="122">
        <f>'POISSON-LOGNORM'!B21</f>
        <v>6592.7714081708973</v>
      </c>
      <c r="K25" s="3"/>
      <c r="L25" s="3"/>
    </row>
    <row r="26" spans="1:12" ht="15.6" x14ac:dyDescent="0.3">
      <c r="A26" s="5"/>
      <c r="B26" s="105"/>
      <c r="I26" s="3"/>
      <c r="J26" s="3"/>
      <c r="K26" s="3"/>
      <c r="L26" s="3"/>
    </row>
    <row r="27" spans="1:12" ht="15.6" x14ac:dyDescent="0.3">
      <c r="A27" s="216"/>
      <c r="B27" s="105" t="str">
        <f>+'POISSON-LOGNORM'!B23</f>
        <v>A</v>
      </c>
      <c r="C27" s="105" t="str">
        <f>+'POISSON-LOGNORM'!C23</f>
        <v>B</v>
      </c>
      <c r="D27" s="217"/>
      <c r="E27" s="216"/>
      <c r="F27" s="3"/>
      <c r="G27" s="3"/>
      <c r="H27" s="3"/>
      <c r="I27" s="3"/>
      <c r="J27" s="3"/>
      <c r="K27" s="3"/>
      <c r="L27" s="3"/>
    </row>
    <row r="28" spans="1:12" ht="15.6" x14ac:dyDescent="0.3">
      <c r="A28" s="5" t="s">
        <v>5</v>
      </c>
      <c r="B28" s="105">
        <f>'POISSON-LOGNORM'!B24</f>
        <v>6.9346693802480042</v>
      </c>
      <c r="C28" s="105">
        <f>'POISSON-LOGNORM'!C24</f>
        <v>1.3917221857600348</v>
      </c>
      <c r="D28" s="217"/>
      <c r="E28" s="220"/>
      <c r="F28" s="6"/>
      <c r="G28" s="3"/>
      <c r="H28" s="6"/>
      <c r="I28" s="6"/>
      <c r="J28" s="6"/>
      <c r="K28" s="6"/>
      <c r="L28" s="3"/>
    </row>
    <row r="29" spans="1:12" ht="15.6" x14ac:dyDescent="0.3">
      <c r="A29" s="5" t="s">
        <v>128</v>
      </c>
      <c r="B29" s="105"/>
      <c r="C29" s="218"/>
      <c r="D29" s="218"/>
      <c r="E29" s="219"/>
      <c r="F29" s="3"/>
      <c r="G29" s="6"/>
      <c r="H29" s="3"/>
      <c r="I29" s="6"/>
      <c r="J29" s="6"/>
      <c r="K29" s="6"/>
      <c r="L29" s="3"/>
    </row>
    <row r="30" spans="1:12" ht="15.6" x14ac:dyDescent="0.3">
      <c r="A30" s="183" t="s">
        <v>129</v>
      </c>
      <c r="B30" s="184">
        <v>0</v>
      </c>
      <c r="C30" s="217"/>
      <c r="D30" s="218"/>
      <c r="E30" s="14"/>
      <c r="F30" s="6"/>
      <c r="G30" s="5" t="s">
        <v>8</v>
      </c>
      <c r="H30" s="116">
        <f ca="1">SUM(E31:E130)</f>
        <v>85825.438064868184</v>
      </c>
      <c r="I30" s="6"/>
      <c r="J30" s="6"/>
      <c r="K30" s="6"/>
      <c r="L30" s="3"/>
    </row>
    <row r="31" spans="1:12" ht="15.6" x14ac:dyDescent="0.3">
      <c r="A31" s="1"/>
      <c r="B31" s="13"/>
      <c r="C31" s="1">
        <v>1</v>
      </c>
      <c r="D31" s="4">
        <f ca="1">'POISSON-LOGNORM'!D27</f>
        <v>318.18386759406587</v>
      </c>
      <c r="E31" s="4">
        <f ca="1">IF(C31&lt;=$B$19,IF(D31&gt;=$B$30,D31-$B$30,0),0)</f>
        <v>318.18386759406587</v>
      </c>
      <c r="F31" s="6"/>
      <c r="G31" s="6"/>
      <c r="H31" s="6"/>
      <c r="I31" s="6"/>
      <c r="J31" s="6"/>
      <c r="K31" s="6"/>
      <c r="L31" s="3"/>
    </row>
    <row r="32" spans="1:12" ht="15.6" x14ac:dyDescent="0.3">
      <c r="A32" s="1"/>
      <c r="B32" s="13"/>
      <c r="C32" s="11">
        <f>+C31+1</f>
        <v>2</v>
      </c>
      <c r="D32" s="4">
        <f ca="1">'POISSON-LOGNORM'!D28</f>
        <v>5886.3263394409087</v>
      </c>
      <c r="E32" s="4">
        <f ca="1">IF(C32&lt;=$B$19,IF(D32&gt;=$B$30,D32-$B$30,0),0)</f>
        <v>5886.3263394409087</v>
      </c>
      <c r="F32" s="6"/>
      <c r="G32" t="s">
        <v>86</v>
      </c>
      <c r="H32" s="111">
        <f ca="1">+'POISSON-LOGNORM'!H26</f>
        <v>85825.438064868184</v>
      </c>
    </row>
    <row r="33" spans="1:6" ht="15.6" x14ac:dyDescent="0.3">
      <c r="A33" s="1"/>
      <c r="B33" s="13"/>
      <c r="C33" s="11">
        <f>+C32+1</f>
        <v>3</v>
      </c>
      <c r="D33" s="4">
        <f ca="1">'POISSON-LOGNORM'!D29</f>
        <v>1813.6472469071814</v>
      </c>
      <c r="E33" s="4">
        <f ca="1">IF(C33&lt;=$B$19,IF(D33&gt;=$B$30,D33-$B$30,0),0)</f>
        <v>1813.6472469071814</v>
      </c>
      <c r="F33" s="6"/>
    </row>
    <row r="34" spans="1:6" ht="15.6" x14ac:dyDescent="0.3">
      <c r="A34" s="1"/>
      <c r="B34" s="13"/>
      <c r="C34" s="11">
        <f>+C33+1</f>
        <v>4</v>
      </c>
      <c r="D34" s="4">
        <f ca="1">'POISSON-LOGNORM'!D30</f>
        <v>10212.23233197722</v>
      </c>
      <c r="E34" s="4">
        <f ca="1">IF(C34&lt;=$B$19,IF(D34&gt;=$B$30,D34-$B$30,0),0)</f>
        <v>10212.23233197722</v>
      </c>
      <c r="F34" s="6"/>
    </row>
    <row r="35" spans="1:6" ht="15.6" x14ac:dyDescent="0.3">
      <c r="A35" s="1"/>
      <c r="B35" s="13"/>
      <c r="C35" s="11">
        <f>+C34+1</f>
        <v>5</v>
      </c>
      <c r="D35" s="4">
        <f ca="1">'POISSON-LOGNORM'!D31</f>
        <v>981.23038964641421</v>
      </c>
      <c r="E35" s="4">
        <f ca="1">IF(C35&lt;=$B$19,IF(D35&gt;=$B$30,D35-$B$30,0),0)</f>
        <v>981.23038964641421</v>
      </c>
      <c r="F35" s="6"/>
    </row>
    <row r="36" spans="1:6" ht="15.6" x14ac:dyDescent="0.3">
      <c r="A36" s="1"/>
      <c r="B36" s="13"/>
      <c r="C36" s="11">
        <f>+C35+1</f>
        <v>6</v>
      </c>
      <c r="D36" s="4">
        <f ca="1">'POISSON-LOGNORM'!D32</f>
        <v>371.18358979008707</v>
      </c>
      <c r="E36" s="4">
        <f ca="1">IF(C36&lt;=$B$19,IF(D36&gt;=$B$30,D36-$B$30,0),0)</f>
        <v>371.18358979008707</v>
      </c>
      <c r="F36" s="6"/>
    </row>
    <row r="37" spans="1:6" ht="15.6" x14ac:dyDescent="0.3">
      <c r="A37" s="1"/>
      <c r="B37" s="13"/>
      <c r="C37" s="11">
        <f>+C36+1</f>
        <v>7</v>
      </c>
      <c r="D37" s="4">
        <f ca="1">'POISSON-LOGNORM'!D33</f>
        <v>857.98745833032206</v>
      </c>
      <c r="E37" s="4">
        <f ca="1">IF(C37&lt;=$B$19,IF(D37&gt;=$B$30,D37-$B$30,0),0)</f>
        <v>857.98745833032206</v>
      </c>
      <c r="F37" s="6"/>
    </row>
    <row r="38" spans="1:6" ht="15.6" x14ac:dyDescent="0.3">
      <c r="A38" s="1"/>
      <c r="B38" s="13"/>
      <c r="C38" s="11">
        <f>+C37+1</f>
        <v>8</v>
      </c>
      <c r="D38" s="4">
        <f ca="1">'POISSON-LOGNORM'!D34</f>
        <v>379.22969205498498</v>
      </c>
      <c r="E38" s="4">
        <f ca="1">IF(C38&lt;=$B$19,IF(D38&gt;=$B$30,D38-$B$30,0),0)</f>
        <v>379.22969205498498</v>
      </c>
      <c r="F38" s="6"/>
    </row>
    <row r="39" spans="1:6" ht="15.6" x14ac:dyDescent="0.3">
      <c r="A39" s="1"/>
      <c r="B39" s="13"/>
      <c r="C39" s="11">
        <f>+C38+1</f>
        <v>9</v>
      </c>
      <c r="D39" s="4">
        <f ca="1">'POISSON-LOGNORM'!D35</f>
        <v>1604.4148000561981</v>
      </c>
      <c r="E39" s="4">
        <f ca="1">IF(C39&lt;=$B$19,IF(D39&gt;=$B$30,D39-$B$30,0),0)</f>
        <v>1604.4148000561981</v>
      </c>
      <c r="F39" s="6"/>
    </row>
    <row r="40" spans="1:6" ht="15.6" x14ac:dyDescent="0.3">
      <c r="A40" s="1"/>
      <c r="B40" s="13"/>
      <c r="C40" s="11">
        <f>+C39+1</f>
        <v>10</v>
      </c>
      <c r="D40" s="4">
        <f ca="1">'POISSON-LOGNORM'!D36</f>
        <v>2108.1970648080905</v>
      </c>
      <c r="E40" s="4">
        <f ca="1">IF(C40&lt;=$B$19,IF(D40&gt;=$B$30,D40-$B$30,0),0)</f>
        <v>2108.1970648080905</v>
      </c>
      <c r="F40" s="6"/>
    </row>
    <row r="41" spans="1:6" ht="15.6" x14ac:dyDescent="0.3">
      <c r="A41" s="1"/>
      <c r="B41" s="13"/>
      <c r="C41" s="11">
        <f>+C40+1</f>
        <v>11</v>
      </c>
      <c r="D41" s="4">
        <f ca="1">'POISSON-LOGNORM'!D37</f>
        <v>157.66992632502922</v>
      </c>
      <c r="E41" s="4">
        <f ca="1">IF(C41&lt;=$B$19,IF(D41&gt;=$B$30,D41-$B$30,0),0)</f>
        <v>157.66992632502922</v>
      </c>
    </row>
    <row r="42" spans="1:6" ht="15.6" x14ac:dyDescent="0.3">
      <c r="A42" s="1"/>
      <c r="B42" s="13"/>
      <c r="C42" s="11">
        <f>+C41+1</f>
        <v>12</v>
      </c>
      <c r="D42" s="4">
        <f ca="1">'POISSON-LOGNORM'!D38</f>
        <v>396.81356918615273</v>
      </c>
      <c r="E42" s="4">
        <f ca="1">IF(C42&lt;=$B$19,IF(D42&gt;=$B$30,D42-$B$30,0),0)</f>
        <v>396.81356918615273</v>
      </c>
    </row>
    <row r="43" spans="1:6" ht="15.6" x14ac:dyDescent="0.3">
      <c r="A43" s="1"/>
      <c r="B43" s="13"/>
      <c r="C43" s="11">
        <f>+C42+1</f>
        <v>13</v>
      </c>
      <c r="D43" s="4">
        <f ca="1">'POISSON-LOGNORM'!D39</f>
        <v>410.93132598874058</v>
      </c>
      <c r="E43" s="4">
        <f ca="1">IF(C43&lt;=$B$19,IF(D43&gt;=$B$30,D43-$B$30,0),0)</f>
        <v>410.93132598874058</v>
      </c>
    </row>
    <row r="44" spans="1:6" ht="15.6" x14ac:dyDescent="0.3">
      <c r="A44" s="1"/>
      <c r="B44" s="13"/>
      <c r="C44" s="11">
        <f>+C43+1</f>
        <v>14</v>
      </c>
      <c r="D44" s="4">
        <f ca="1">'POISSON-LOGNORM'!D40</f>
        <v>559.25710052774093</v>
      </c>
      <c r="E44" s="4">
        <f ca="1">IF(C44&lt;=$B$19,IF(D44&gt;=$B$30,D44-$B$30,0),0)</f>
        <v>559.25710052774093</v>
      </c>
    </row>
    <row r="45" spans="1:6" ht="15.6" x14ac:dyDescent="0.3">
      <c r="A45" s="1"/>
      <c r="B45" s="13"/>
      <c r="C45" s="11">
        <f>+C44+1</f>
        <v>15</v>
      </c>
      <c r="D45" s="4">
        <f ca="1">'POISSON-LOGNORM'!D41</f>
        <v>3672.4864280724141</v>
      </c>
      <c r="E45" s="4">
        <f ca="1">IF(C45&lt;=$B$19,IF(D45&gt;=$B$30,D45-$B$30,0),0)</f>
        <v>3672.4864280724141</v>
      </c>
    </row>
    <row r="46" spans="1:6" ht="15.6" x14ac:dyDescent="0.3">
      <c r="A46" s="1"/>
      <c r="B46" s="13"/>
      <c r="C46" s="11">
        <f>+C45+1</f>
        <v>16</v>
      </c>
      <c r="D46" s="4">
        <f ca="1">'POISSON-LOGNORM'!D42</f>
        <v>434.89441620620363</v>
      </c>
      <c r="E46" s="4">
        <f ca="1">IF(C46&lt;=$B$19,IF(D46&gt;=$B$30,D46-$B$30,0),0)</f>
        <v>434.89441620620363</v>
      </c>
    </row>
    <row r="47" spans="1:6" ht="15.6" x14ac:dyDescent="0.3">
      <c r="A47" s="1"/>
      <c r="B47" s="13"/>
      <c r="C47" s="11">
        <f>+C46+1</f>
        <v>17</v>
      </c>
      <c r="D47" s="4">
        <f ca="1">'POISSON-LOGNORM'!D43</f>
        <v>336.38730738554227</v>
      </c>
      <c r="E47" s="4">
        <f ca="1">IF(C47&lt;=$B$19,IF(D47&gt;=$B$30,D47-$B$30,0),0)</f>
        <v>336.38730738554227</v>
      </c>
    </row>
    <row r="48" spans="1:6" ht="15.6" x14ac:dyDescent="0.3">
      <c r="A48" s="1"/>
      <c r="B48" s="13"/>
      <c r="C48" s="11">
        <f>+C47+1</f>
        <v>18</v>
      </c>
      <c r="D48" s="4">
        <f ca="1">'POISSON-LOGNORM'!D44</f>
        <v>1134.5746527710221</v>
      </c>
      <c r="E48" s="4">
        <f ca="1">IF(C48&lt;=$B$19,IF(D48&gt;=$B$30,D48-$B$30,0),0)</f>
        <v>1134.5746527710221</v>
      </c>
    </row>
    <row r="49" spans="1:5" ht="15.6" x14ac:dyDescent="0.3">
      <c r="A49" s="1"/>
      <c r="B49" s="13"/>
      <c r="C49" s="11">
        <f>+C48+1</f>
        <v>19</v>
      </c>
      <c r="D49" s="4">
        <f ca="1">'POISSON-LOGNORM'!D45</f>
        <v>882.69813888399119</v>
      </c>
      <c r="E49" s="4">
        <f ca="1">IF(C49&lt;=$B$19,IF(D49&gt;=$B$30,D49-$B$30,0),0)</f>
        <v>882.69813888399119</v>
      </c>
    </row>
    <row r="50" spans="1:5" ht="15.6" x14ac:dyDescent="0.3">
      <c r="A50" s="1"/>
      <c r="B50" s="13"/>
      <c r="C50" s="11">
        <f>+C49+1</f>
        <v>20</v>
      </c>
      <c r="D50" s="4">
        <f ca="1">'POISSON-LOGNORM'!D46</f>
        <v>238.13914884663382</v>
      </c>
      <c r="E50" s="4">
        <f ca="1">IF(C50&lt;=$B$19,IF(D50&gt;=$B$30,D50-$B$30,0),0)</f>
        <v>238.13914884663382</v>
      </c>
    </row>
    <row r="51" spans="1:5" ht="15.6" x14ac:dyDescent="0.3">
      <c r="A51" s="1"/>
      <c r="B51" s="13"/>
      <c r="C51" s="11">
        <f>+C50+1</f>
        <v>21</v>
      </c>
      <c r="D51" s="4">
        <f ca="1">'POISSON-LOGNORM'!D47</f>
        <v>793.02315804367595</v>
      </c>
      <c r="E51" s="4">
        <f ca="1">IF(C51&lt;=$B$19,IF(D51&gt;=$B$30,D51-$B$30,0),0)</f>
        <v>793.02315804367595</v>
      </c>
    </row>
    <row r="52" spans="1:5" ht="15.6" x14ac:dyDescent="0.3">
      <c r="A52" s="1"/>
      <c r="B52" s="13"/>
      <c r="C52" s="11">
        <f>+C51+1</f>
        <v>22</v>
      </c>
      <c r="D52" s="4">
        <f ca="1">'POISSON-LOGNORM'!D48</f>
        <v>403.76901121678208</v>
      </c>
      <c r="E52" s="4">
        <f ca="1">IF(C52&lt;=$B$19,IF(D52&gt;=$B$30,D52-$B$30,0),0)</f>
        <v>403.76901121678208</v>
      </c>
    </row>
    <row r="53" spans="1:5" ht="15.6" x14ac:dyDescent="0.3">
      <c r="A53" s="1"/>
      <c r="B53" s="13"/>
      <c r="C53" s="11">
        <f>+C52+1</f>
        <v>23</v>
      </c>
      <c r="D53" s="4">
        <f ca="1">'POISSON-LOGNORM'!D49</f>
        <v>6335.8293421302997</v>
      </c>
      <c r="E53" s="4">
        <f ca="1">IF(C53&lt;=$B$19,IF(D53&gt;=$B$30,D53-$B$30,0),0)</f>
        <v>6335.8293421302997</v>
      </c>
    </row>
    <row r="54" spans="1:5" ht="15.6" x14ac:dyDescent="0.3">
      <c r="A54" s="1"/>
      <c r="B54" s="13"/>
      <c r="C54" s="11">
        <f>+C53+1</f>
        <v>24</v>
      </c>
      <c r="D54" s="4">
        <f ca="1">'POISSON-LOGNORM'!D50</f>
        <v>573.87190623841479</v>
      </c>
      <c r="E54" s="4">
        <f ca="1">IF(C54&lt;=$B$19,IF(D54&gt;=$B$30,D54-$B$30,0),0)</f>
        <v>573.87190623841479</v>
      </c>
    </row>
    <row r="55" spans="1:5" ht="15.6" x14ac:dyDescent="0.3">
      <c r="A55" s="1"/>
      <c r="B55" s="13"/>
      <c r="C55" s="11">
        <f>+C54+1</f>
        <v>25</v>
      </c>
      <c r="D55" s="4">
        <f ca="1">'POISSON-LOGNORM'!D51</f>
        <v>116.49879536826853</v>
      </c>
      <c r="E55" s="4">
        <f ca="1">IF(C55&lt;=$B$19,IF(D55&gt;=$B$30,D55-$B$30,0),0)</f>
        <v>116.49879536826853</v>
      </c>
    </row>
    <row r="56" spans="1:5" ht="15.6" x14ac:dyDescent="0.3">
      <c r="A56" s="1"/>
      <c r="B56" s="13"/>
      <c r="C56" s="11">
        <f>+C55+1</f>
        <v>26</v>
      </c>
      <c r="D56" s="4">
        <f ca="1">'POISSON-LOGNORM'!D52</f>
        <v>12295.032569060646</v>
      </c>
      <c r="E56" s="4">
        <f ca="1">IF(C56&lt;=$B$19,IF(D56&gt;=$B$30,D56-$B$30,0),0)</f>
        <v>12295.032569060646</v>
      </c>
    </row>
    <row r="57" spans="1:5" ht="15.6" x14ac:dyDescent="0.3">
      <c r="A57" s="1"/>
      <c r="B57" s="13"/>
      <c r="C57" s="11">
        <f>+C56+1</f>
        <v>27</v>
      </c>
      <c r="D57" s="4">
        <f ca="1">'POISSON-LOGNORM'!D53</f>
        <v>1429.5663481700853</v>
      </c>
      <c r="E57" s="4">
        <f ca="1">IF(C57&lt;=$B$19,IF(D57&gt;=$B$30,D57-$B$30,0),0)</f>
        <v>1429.5663481700853</v>
      </c>
    </row>
    <row r="58" spans="1:5" ht="15.6" x14ac:dyDescent="0.3">
      <c r="A58" s="1"/>
      <c r="B58" s="13"/>
      <c r="C58" s="11">
        <f>+C57+1</f>
        <v>28</v>
      </c>
      <c r="D58" s="4">
        <f ca="1">'POISSON-LOGNORM'!D54</f>
        <v>1615.1269689497744</v>
      </c>
      <c r="E58" s="4">
        <f ca="1">IF(C58&lt;=$B$19,IF(D58&gt;=$B$30,D58-$B$30,0),0)</f>
        <v>1615.1269689497744</v>
      </c>
    </row>
    <row r="59" spans="1:5" ht="15.6" x14ac:dyDescent="0.3">
      <c r="A59" s="1"/>
      <c r="B59" s="13"/>
      <c r="C59" s="11">
        <f>+C58+1</f>
        <v>29</v>
      </c>
      <c r="D59" s="4">
        <f ca="1">'POISSON-LOGNORM'!D55</f>
        <v>256.36366403294932</v>
      </c>
      <c r="E59" s="4">
        <f ca="1">IF(C59&lt;=$B$19,IF(D59&gt;=$B$30,D59-$B$30,0),0)</f>
        <v>256.36366403294932</v>
      </c>
    </row>
    <row r="60" spans="1:5" ht="15.6" x14ac:dyDescent="0.3">
      <c r="A60" s="1"/>
      <c r="B60" s="13"/>
      <c r="C60" s="11">
        <f>+C59+1</f>
        <v>30</v>
      </c>
      <c r="D60" s="4">
        <f ca="1">'POISSON-LOGNORM'!D56</f>
        <v>355.18288880383056</v>
      </c>
      <c r="E60" s="4">
        <f ca="1">IF(C60&lt;=$B$19,IF(D60&gt;=$B$30,D60-$B$30,0),0)</f>
        <v>355.18288880383056</v>
      </c>
    </row>
    <row r="61" spans="1:5" ht="15.6" x14ac:dyDescent="0.3">
      <c r="A61" s="1"/>
      <c r="B61" s="13"/>
      <c r="C61" s="11">
        <f>+C60+1</f>
        <v>31</v>
      </c>
      <c r="D61" s="4">
        <f ca="1">'POISSON-LOGNORM'!D57</f>
        <v>553.08910944380568</v>
      </c>
      <c r="E61" s="4">
        <f ca="1">IF(C61&lt;=$B$19,IF(D61&gt;=$B$30,D61-$B$30,0),0)</f>
        <v>553.08910944380568</v>
      </c>
    </row>
    <row r="62" spans="1:5" ht="15.6" x14ac:dyDescent="0.3">
      <c r="A62" s="1"/>
      <c r="B62" s="13"/>
      <c r="C62" s="11">
        <f>+C61+1</f>
        <v>32</v>
      </c>
      <c r="D62" s="4">
        <f ca="1">'POISSON-LOGNORM'!D58</f>
        <v>433.55760879080623</v>
      </c>
      <c r="E62" s="4">
        <f ca="1">IF(C62&lt;=$B$19,IF(D62&gt;=$B$30,D62-$B$30,0),0)</f>
        <v>433.55760879080623</v>
      </c>
    </row>
    <row r="63" spans="1:5" ht="15.6" x14ac:dyDescent="0.3">
      <c r="A63" s="1"/>
      <c r="B63" s="13"/>
      <c r="C63" s="11">
        <f>+C62+1</f>
        <v>33</v>
      </c>
      <c r="D63" s="4">
        <f ca="1">'POISSON-LOGNORM'!D59</f>
        <v>1132.9332460320322</v>
      </c>
      <c r="E63" s="4">
        <f ca="1">IF(C63&lt;=$B$19,IF(D63&gt;=$B$30,D63-$B$30,0),0)</f>
        <v>1132.9332460320322</v>
      </c>
    </row>
    <row r="64" spans="1:5" ht="15.6" x14ac:dyDescent="0.3">
      <c r="A64" s="1"/>
      <c r="B64" s="13"/>
      <c r="C64" s="11">
        <f>+C63+1</f>
        <v>34</v>
      </c>
      <c r="D64" s="4">
        <f ca="1">'POISSON-LOGNORM'!D60</f>
        <v>7376.5746960915894</v>
      </c>
      <c r="E64" s="4">
        <f ca="1">IF(C64&lt;=$B$19,IF(D64&gt;=$B$30,D64-$B$30,0),0)</f>
        <v>7376.5746960915894</v>
      </c>
    </row>
    <row r="65" spans="1:5" ht="15.6" x14ac:dyDescent="0.3">
      <c r="A65" s="1"/>
      <c r="B65" s="13"/>
      <c r="C65" s="11">
        <f>+C64+1</f>
        <v>35</v>
      </c>
      <c r="D65" s="4">
        <f ca="1">'POISSON-LOGNORM'!D61</f>
        <v>1190.303884386854</v>
      </c>
      <c r="E65" s="4">
        <f ca="1">IF(C65&lt;=$B$19,IF(D65&gt;=$B$30,D65-$B$30,0),0)</f>
        <v>1190.303884386854</v>
      </c>
    </row>
    <row r="66" spans="1:5" ht="15.6" x14ac:dyDescent="0.3">
      <c r="A66" s="1"/>
      <c r="B66" s="13"/>
      <c r="C66" s="11">
        <f>+C65+1</f>
        <v>36</v>
      </c>
      <c r="D66" s="4">
        <f ca="1">'POISSON-LOGNORM'!D62</f>
        <v>1894.9875754612965</v>
      </c>
      <c r="E66" s="4">
        <f ca="1">IF(C66&lt;=$B$19,IF(D66&gt;=$B$30,D66-$B$30,0),0)</f>
        <v>1894.9875754612965</v>
      </c>
    </row>
    <row r="67" spans="1:5" ht="15.6" x14ac:dyDescent="0.3">
      <c r="A67" s="1"/>
      <c r="B67" s="13"/>
      <c r="C67" s="11">
        <f>+C66+1</f>
        <v>37</v>
      </c>
      <c r="D67" s="4">
        <f ca="1">'POISSON-LOGNORM'!D63</f>
        <v>2597.7609711092887</v>
      </c>
      <c r="E67" s="4">
        <f ca="1">IF(C67&lt;=$B$19,IF(D67&gt;=$B$30,D67-$B$30,0),0)</f>
        <v>2597.7609711092887</v>
      </c>
    </row>
    <row r="68" spans="1:5" ht="15.6" x14ac:dyDescent="0.3">
      <c r="A68" s="1"/>
      <c r="B68" s="13"/>
      <c r="C68" s="11">
        <f>+C67+1</f>
        <v>38</v>
      </c>
      <c r="D68" s="4">
        <f ca="1">'POISSON-LOGNORM'!D64</f>
        <v>276.1968534487321</v>
      </c>
      <c r="E68" s="4">
        <f ca="1">IF(C68&lt;=$B$19,IF(D68&gt;=$B$30,D68-$B$30,0),0)</f>
        <v>276.1968534487321</v>
      </c>
    </row>
    <row r="69" spans="1:5" ht="15.6" x14ac:dyDescent="0.3">
      <c r="A69" s="1"/>
      <c r="B69" s="13"/>
      <c r="C69" s="11">
        <f>+C68+1</f>
        <v>39</v>
      </c>
      <c r="D69" s="4">
        <f ca="1">'POISSON-LOGNORM'!D65</f>
        <v>2654.0411494831851</v>
      </c>
      <c r="E69" s="4">
        <f ca="1">IF(C69&lt;=$B$19,IF(D69&gt;=$B$30,D69-$B$30,0),0)</f>
        <v>2654.0411494831851</v>
      </c>
    </row>
    <row r="70" spans="1:5" ht="15.6" x14ac:dyDescent="0.3">
      <c r="A70" s="1"/>
      <c r="B70" s="13"/>
      <c r="C70" s="11">
        <f>+C69+1</f>
        <v>40</v>
      </c>
      <c r="D70" s="4">
        <f ca="1">'POISSON-LOGNORM'!D66</f>
        <v>1827.2376511264501</v>
      </c>
      <c r="E70" s="4">
        <f ca="1">IF(C70&lt;=$B$19,IF(D70&gt;=$B$30,D70-$B$30,0),0)</f>
        <v>1827.2376511264501</v>
      </c>
    </row>
    <row r="71" spans="1:5" ht="15.6" x14ac:dyDescent="0.3">
      <c r="A71" s="1"/>
      <c r="B71" s="13"/>
      <c r="C71" s="11">
        <f>+C70+1</f>
        <v>41</v>
      </c>
      <c r="D71" s="4">
        <f ca="1">'POISSON-LOGNORM'!D67</f>
        <v>1542.0427035819262</v>
      </c>
      <c r="E71" s="4">
        <f ca="1">IF(C71&lt;=$B$19,IF(D71&gt;=$B$30,D71-$B$30,0),0)</f>
        <v>1542.0427035819262</v>
      </c>
    </row>
    <row r="72" spans="1:5" ht="15.6" x14ac:dyDescent="0.3">
      <c r="A72" s="1"/>
      <c r="B72" s="13"/>
      <c r="C72" s="11">
        <f>+C71+1</f>
        <v>42</v>
      </c>
      <c r="D72" s="4">
        <f ca="1">'POISSON-LOGNORM'!D68</f>
        <v>818.09297728223862</v>
      </c>
      <c r="E72" s="4">
        <f ca="1">IF(C72&lt;=$B$19,IF(D72&gt;=$B$30,D72-$B$30,0),0)</f>
        <v>818.09297728223862</v>
      </c>
    </row>
    <row r="73" spans="1:5" ht="15.6" x14ac:dyDescent="0.3">
      <c r="A73" s="1"/>
      <c r="B73" s="13"/>
      <c r="C73" s="11">
        <f>+C72+1</f>
        <v>43</v>
      </c>
      <c r="D73" s="4">
        <f ca="1">'POISSON-LOGNORM'!D69</f>
        <v>624.23127507135939</v>
      </c>
      <c r="E73" s="4">
        <f ca="1">IF(C73&lt;=$B$19,IF(D73&gt;=$B$30,D73-$B$30,0),0)</f>
        <v>624.23127507135939</v>
      </c>
    </row>
    <row r="74" spans="1:5" ht="15.6" x14ac:dyDescent="0.3">
      <c r="A74" s="1"/>
      <c r="B74" s="13"/>
      <c r="C74" s="11">
        <f>+C73+1</f>
        <v>44</v>
      </c>
      <c r="D74" s="4">
        <f ca="1">'POISSON-LOGNORM'!D70</f>
        <v>24.440656503550859</v>
      </c>
      <c r="E74" s="4">
        <f ca="1">IF(C74&lt;=$B$19,IF(D74&gt;=$B$30,D74-$B$30,0),0)</f>
        <v>24.440656503550859</v>
      </c>
    </row>
    <row r="75" spans="1:5" ht="15.6" x14ac:dyDescent="0.3">
      <c r="A75" s="1"/>
      <c r="B75" s="13"/>
      <c r="C75" s="11">
        <f>+C74+1</f>
        <v>45</v>
      </c>
      <c r="D75" s="4">
        <f ca="1">'POISSON-LOGNORM'!D71</f>
        <v>2102.7387267330469</v>
      </c>
      <c r="E75" s="4">
        <f ca="1">IF(C75&lt;=$B$19,IF(D75&gt;=$B$30,D75-$B$30,0),0)</f>
        <v>2102.7387267330469</v>
      </c>
    </row>
    <row r="76" spans="1:5" ht="15.6" x14ac:dyDescent="0.3">
      <c r="A76" s="1"/>
      <c r="B76" s="13"/>
      <c r="C76" s="11">
        <f>+C75+1</f>
        <v>46</v>
      </c>
      <c r="D76" s="4">
        <f ca="1">'POISSON-LOGNORM'!D72</f>
        <v>1388.0793439098154</v>
      </c>
      <c r="E76" s="4">
        <f ca="1">IF(C76&lt;=$B$19,IF(D76&gt;=$B$30,D76-$B$30,0),0)</f>
        <v>1388.0793439098154</v>
      </c>
    </row>
    <row r="77" spans="1:5" ht="15.6" x14ac:dyDescent="0.3">
      <c r="A77" s="1"/>
      <c r="B77" s="13"/>
      <c r="C77" s="11">
        <f>+C76+1</f>
        <v>47</v>
      </c>
      <c r="D77" s="4">
        <f ca="1">'POISSON-LOGNORM'!D73</f>
        <v>2413.8172217083547</v>
      </c>
      <c r="E77" s="4">
        <f ca="1">IF(C77&lt;=$B$19,IF(D77&gt;=$B$30,D77-$B$30,0),0)</f>
        <v>2413.8172217083547</v>
      </c>
    </row>
    <row r="78" spans="1:5" ht="15.6" x14ac:dyDescent="0.3">
      <c r="A78" s="1"/>
      <c r="B78" s="13"/>
      <c r="C78" s="11">
        <f>+C77+1</f>
        <v>48</v>
      </c>
      <c r="D78" s="4">
        <f ca="1">'POISSON-LOGNORM'!D74</f>
        <v>44.562967890181568</v>
      </c>
      <c r="E78" s="4">
        <f ca="1">IF(C78&lt;=$B$19,IF(D78&gt;=$B$30,D78-$B$30,0),0)</f>
        <v>44.562967890181568</v>
      </c>
    </row>
    <row r="79" spans="1:5" ht="15.6" x14ac:dyDescent="0.3">
      <c r="A79" s="1"/>
      <c r="B79" s="13"/>
      <c r="C79" s="11">
        <f>+C78+1</f>
        <v>49</v>
      </c>
      <c r="D79" s="4">
        <f ca="1">'POISSON-LOGNORM'!D75</f>
        <v>395.88036612867364</v>
      </c>
      <c r="E79" s="4">
        <f ca="1">IF(C79&lt;=$B$19,IF(D79&gt;=$B$30,D79-$B$30,0),0)</f>
        <v>0</v>
      </c>
    </row>
    <row r="80" spans="1:5" ht="15.6" x14ac:dyDescent="0.3">
      <c r="A80" s="1"/>
      <c r="B80" s="13"/>
      <c r="C80" s="11">
        <f>+C79+1</f>
        <v>50</v>
      </c>
      <c r="D80" s="4">
        <f ca="1">'POISSON-LOGNORM'!D76</f>
        <v>2457.7148066300033</v>
      </c>
      <c r="E80" s="4">
        <f ca="1">IF(C80&lt;=$B$19,IF(D80&gt;=$B$30,D80-$B$30,0),0)</f>
        <v>0</v>
      </c>
    </row>
    <row r="81" spans="1:5" ht="15.6" x14ac:dyDescent="0.3">
      <c r="A81" s="1"/>
      <c r="B81" s="13"/>
      <c r="C81" s="11">
        <f>+C80+1</f>
        <v>51</v>
      </c>
      <c r="D81" s="4">
        <f ca="1">'POISSON-LOGNORM'!D77</f>
        <v>27.413936830189126</v>
      </c>
      <c r="E81" s="4">
        <f ca="1">IF(C81&lt;=$B$19,IF(D81&gt;=$B$30,D81-$B$30,0),0)</f>
        <v>0</v>
      </c>
    </row>
    <row r="82" spans="1:5" ht="15.6" x14ac:dyDescent="0.3">
      <c r="A82" s="1"/>
      <c r="B82" s="13"/>
      <c r="C82" s="11">
        <f>+C81+1</f>
        <v>52</v>
      </c>
      <c r="D82" s="4">
        <f ca="1">'POISSON-LOGNORM'!D78</f>
        <v>2417.9152271038297</v>
      </c>
      <c r="E82" s="4">
        <f ca="1">IF(C82&lt;=$B$19,IF(D82&gt;=$B$30,D82-$B$30,0),0)</f>
        <v>0</v>
      </c>
    </row>
    <row r="83" spans="1:5" ht="15.6" x14ac:dyDescent="0.3">
      <c r="A83" s="1"/>
      <c r="B83" s="13"/>
      <c r="C83" s="11">
        <f>+C82+1</f>
        <v>53</v>
      </c>
      <c r="D83" s="4">
        <f ca="1">'POISSON-LOGNORM'!D79</f>
        <v>76.115038870909416</v>
      </c>
      <c r="E83" s="4">
        <f ca="1">IF(C83&lt;=$B$19,IF(D83&gt;=$B$30,D83-$B$30,0),0)</f>
        <v>0</v>
      </c>
    </row>
    <row r="84" spans="1:5" ht="15.6" x14ac:dyDescent="0.3">
      <c r="A84" s="1"/>
      <c r="B84" s="13"/>
      <c r="C84" s="11">
        <f>+C83+1</f>
        <v>54</v>
      </c>
      <c r="D84" s="4">
        <f ca="1">'POISSON-LOGNORM'!D80</f>
        <v>1350.6730587015704</v>
      </c>
      <c r="E84" s="4">
        <f ca="1">IF(C84&lt;=$B$19,IF(D84&gt;=$B$30,D84-$B$30,0),0)</f>
        <v>0</v>
      </c>
    </row>
    <row r="85" spans="1:5" ht="15.6" x14ac:dyDescent="0.3">
      <c r="A85" s="1"/>
      <c r="B85" s="13"/>
      <c r="C85" s="11">
        <f>+C84+1</f>
        <v>55</v>
      </c>
      <c r="D85" s="4">
        <f ca="1">'POISSON-LOGNORM'!D81</f>
        <v>904.88534705158804</v>
      </c>
      <c r="E85" s="4">
        <f ca="1">IF(C85&lt;=$B$19,IF(D85&gt;=$B$30,D85-$B$30,0),0)</f>
        <v>0</v>
      </c>
    </row>
    <row r="86" spans="1:5" ht="15.6" x14ac:dyDescent="0.3">
      <c r="A86" s="1"/>
      <c r="B86" s="13"/>
      <c r="C86" s="11">
        <f>+C85+1</f>
        <v>56</v>
      </c>
      <c r="D86" s="4">
        <f ca="1">'POISSON-LOGNORM'!D82</f>
        <v>1921.5399007254748</v>
      </c>
      <c r="E86" s="4">
        <f ca="1">IF(C86&lt;=$B$19,IF(D86&gt;=$B$30,D86-$B$30,0),0)</f>
        <v>0</v>
      </c>
    </row>
    <row r="87" spans="1:5" ht="15.6" x14ac:dyDescent="0.3">
      <c r="A87" s="1"/>
      <c r="B87" s="13"/>
      <c r="C87" s="11">
        <f>+C86+1</f>
        <v>57</v>
      </c>
      <c r="D87" s="4">
        <f ca="1">'POISSON-LOGNORM'!D83</f>
        <v>13214.387577784255</v>
      </c>
      <c r="E87" s="4">
        <f ca="1">IF(C87&lt;=$B$19,IF(D87&gt;=$B$30,D87-$B$30,0),0)</f>
        <v>0</v>
      </c>
    </row>
    <row r="88" spans="1:5" ht="15.6" x14ac:dyDescent="0.3">
      <c r="A88" s="1"/>
      <c r="B88" s="13"/>
      <c r="C88" s="11">
        <f>+C87+1</f>
        <v>58</v>
      </c>
      <c r="D88" s="4">
        <f ca="1">'POISSON-LOGNORM'!D84</f>
        <v>17.681179903044903</v>
      </c>
      <c r="E88" s="4">
        <f ca="1">IF(C88&lt;=$B$19,IF(D88&gt;=$B$30,D88-$B$30,0),0)</f>
        <v>0</v>
      </c>
    </row>
    <row r="89" spans="1:5" ht="15.6" x14ac:dyDescent="0.3">
      <c r="A89" s="1"/>
      <c r="B89" s="13"/>
      <c r="C89" s="11">
        <f>+C88+1</f>
        <v>59</v>
      </c>
      <c r="D89" s="4">
        <f ca="1">'POISSON-LOGNORM'!D85</f>
        <v>1801.4402446551217</v>
      </c>
      <c r="E89" s="4">
        <f ca="1">IF(C89&lt;=$B$19,IF(D89&gt;=$B$30,D89-$B$30,0),0)</f>
        <v>0</v>
      </c>
    </row>
    <row r="90" spans="1:5" ht="15.6" x14ac:dyDescent="0.3">
      <c r="A90" s="1"/>
      <c r="B90" s="13"/>
      <c r="C90" s="11">
        <f>+C89+1</f>
        <v>60</v>
      </c>
      <c r="D90" s="4">
        <f ca="1">'POISSON-LOGNORM'!D86</f>
        <v>1014.8640527588667</v>
      </c>
      <c r="E90" s="4">
        <f ca="1">IF(C90&lt;=$B$19,IF(D90&gt;=$B$30,D90-$B$30,0),0)</f>
        <v>0</v>
      </c>
    </row>
    <row r="91" spans="1:5" ht="15.6" x14ac:dyDescent="0.3">
      <c r="A91" s="1"/>
      <c r="B91" s="13"/>
      <c r="C91" s="11">
        <f>+C90+1</f>
        <v>61</v>
      </c>
      <c r="D91" s="4">
        <f ca="1">'POISSON-LOGNORM'!D87</f>
        <v>354.70989529087143</v>
      </c>
      <c r="E91" s="4">
        <f ca="1">IF(C91&lt;=$B$19,IF(D91&gt;=$B$30,D91-$B$30,0),0)</f>
        <v>0</v>
      </c>
    </row>
    <row r="92" spans="1:5" ht="15.6" x14ac:dyDescent="0.3">
      <c r="A92" s="1"/>
      <c r="B92" s="13"/>
      <c r="C92" s="11">
        <f>+C91+1</f>
        <v>62</v>
      </c>
      <c r="D92" s="4">
        <f ca="1">'POISSON-LOGNORM'!D88</f>
        <v>1630.0278400221384</v>
      </c>
      <c r="E92" s="4">
        <f ca="1">IF(C92&lt;=$B$19,IF(D92&gt;=$B$30,D92-$B$30,0),0)</f>
        <v>0</v>
      </c>
    </row>
    <row r="93" spans="1:5" ht="15.6" x14ac:dyDescent="0.3">
      <c r="A93" s="1"/>
      <c r="B93" s="13"/>
      <c r="C93" s="11">
        <f>+C92+1</f>
        <v>63</v>
      </c>
      <c r="D93" s="4">
        <f ca="1">'POISSON-LOGNORM'!D89</f>
        <v>1869.9978022726618</v>
      </c>
      <c r="E93" s="4">
        <f ca="1">IF(C93&lt;=$B$19,IF(D93&gt;=$B$30,D93-$B$30,0),0)</f>
        <v>0</v>
      </c>
    </row>
    <row r="94" spans="1:5" ht="15.6" x14ac:dyDescent="0.3">
      <c r="A94" s="1"/>
      <c r="B94" s="13"/>
      <c r="C94" s="11">
        <f>+C93+1</f>
        <v>64</v>
      </c>
      <c r="D94" s="4">
        <f ca="1">'POISSON-LOGNORM'!D90</f>
        <v>1006.1831748593182</v>
      </c>
      <c r="E94" s="4">
        <f ca="1">IF(C94&lt;=$B$19,IF(D94&gt;=$B$30,D94-$B$30,0),0)</f>
        <v>0</v>
      </c>
    </row>
    <row r="95" spans="1:5" ht="15.6" x14ac:dyDescent="0.3">
      <c r="A95" s="1"/>
      <c r="B95" s="13"/>
      <c r="C95" s="11">
        <f>+C94+1</f>
        <v>65</v>
      </c>
      <c r="D95" s="4">
        <f ca="1">'POISSON-LOGNORM'!D91</f>
        <v>607.91760888425335</v>
      </c>
      <c r="E95" s="4">
        <f ca="1">IF(C95&lt;=$B$19,IF(D95&gt;=$B$30,D95-$B$30,0),0)</f>
        <v>0</v>
      </c>
    </row>
    <row r="96" spans="1:5" ht="15.6" x14ac:dyDescent="0.3">
      <c r="A96" s="1"/>
      <c r="B96" s="13"/>
      <c r="C96" s="11">
        <f>+C95+1</f>
        <v>66</v>
      </c>
      <c r="D96" s="4">
        <f ca="1">'POISSON-LOGNORM'!D92</f>
        <v>1407.9760579082972</v>
      </c>
      <c r="E96" s="4">
        <f ca="1">IF(C96&lt;=$B$19,IF(D96&gt;=$B$30,D96-$B$30,0),0)</f>
        <v>0</v>
      </c>
    </row>
    <row r="97" spans="1:5" ht="15.6" x14ac:dyDescent="0.3">
      <c r="A97" s="1"/>
      <c r="B97" s="13"/>
      <c r="C97" s="11">
        <f>+C96+1</f>
        <v>67</v>
      </c>
      <c r="D97" s="4">
        <f ca="1">'POISSON-LOGNORM'!D93</f>
        <v>1036.5221633832782</v>
      </c>
      <c r="E97" s="4">
        <f ca="1">IF(C97&lt;=$B$19,IF(D97&gt;=$B$30,D97-$B$30,0),0)</f>
        <v>0</v>
      </c>
    </row>
    <row r="98" spans="1:5" ht="15.6" x14ac:dyDescent="0.3">
      <c r="A98" s="1"/>
      <c r="B98" s="13"/>
      <c r="C98" s="11">
        <f>+C97+1</f>
        <v>68</v>
      </c>
      <c r="D98" s="4">
        <f ca="1">'POISSON-LOGNORM'!D94</f>
        <v>962.18182221347445</v>
      </c>
      <c r="E98" s="4">
        <f ca="1">IF(C98&lt;=$B$19,IF(D98&gt;=$B$30,D98-$B$30,0),0)</f>
        <v>0</v>
      </c>
    </row>
    <row r="99" spans="1:5" ht="15.6" x14ac:dyDescent="0.3">
      <c r="A99" s="1"/>
      <c r="B99" s="13"/>
      <c r="C99" s="11">
        <f>+C98+1</f>
        <v>69</v>
      </c>
      <c r="D99" s="4">
        <f ca="1">'POISSON-LOGNORM'!D95</f>
        <v>668.14130956877636</v>
      </c>
      <c r="E99" s="4">
        <f ca="1">IF(C99&lt;=$B$19,IF(D99&gt;=$B$30,D99-$B$30,0),0)</f>
        <v>0</v>
      </c>
    </row>
    <row r="100" spans="1:5" ht="15.6" x14ac:dyDescent="0.3">
      <c r="A100" s="1"/>
      <c r="B100" s="13"/>
      <c r="C100" s="11">
        <f>+C99+1</f>
        <v>70</v>
      </c>
      <c r="D100" s="4">
        <f ca="1">'POISSON-LOGNORM'!D96</f>
        <v>4646.3941706052337</v>
      </c>
      <c r="E100" s="4">
        <f ca="1">IF(C100&lt;=$B$19,IF(D100&gt;=$B$30,D100-$B$30,0),0)</f>
        <v>0</v>
      </c>
    </row>
    <row r="101" spans="1:5" ht="15.6" x14ac:dyDescent="0.3">
      <c r="A101" s="1"/>
      <c r="B101" s="13"/>
      <c r="C101" s="11">
        <f>+C100+1</f>
        <v>71</v>
      </c>
      <c r="D101" s="4">
        <f ca="1">'POISSON-LOGNORM'!D97</f>
        <v>1142.8561393504231</v>
      </c>
      <c r="E101" s="4">
        <f ca="1">IF(C101&lt;=$B$19,IF(D101&gt;=$B$30,D101-$B$30,0),0)</f>
        <v>0</v>
      </c>
    </row>
    <row r="102" spans="1:5" ht="15.6" x14ac:dyDescent="0.3">
      <c r="A102" s="1"/>
      <c r="B102" s="13"/>
      <c r="C102" s="11">
        <f>+C101+1</f>
        <v>72</v>
      </c>
      <c r="D102" s="4">
        <f ca="1">'POISSON-LOGNORM'!D98</f>
        <v>350.24321835381983</v>
      </c>
      <c r="E102" s="4">
        <f ca="1">IF(C102&lt;=$B$19,IF(D102&gt;=$B$30,D102-$B$30,0),0)</f>
        <v>0</v>
      </c>
    </row>
    <row r="103" spans="1:5" ht="15.6" x14ac:dyDescent="0.3">
      <c r="A103" s="1"/>
      <c r="B103" s="13"/>
      <c r="C103" s="11">
        <f>+C102+1</f>
        <v>73</v>
      </c>
      <c r="D103" s="4">
        <f ca="1">'POISSON-LOGNORM'!D99</f>
        <v>2248.8959883895127</v>
      </c>
      <c r="E103" s="4">
        <f ca="1">IF(C103&lt;=$B$19,IF(D103&gt;=$B$30,D103-$B$30,0),0)</f>
        <v>0</v>
      </c>
    </row>
    <row r="104" spans="1:5" ht="15.6" x14ac:dyDescent="0.3">
      <c r="A104" s="1"/>
      <c r="B104" s="13"/>
      <c r="C104" s="11">
        <f>+C103+1</f>
        <v>74</v>
      </c>
      <c r="D104" s="4">
        <f ca="1">'POISSON-LOGNORM'!D100</f>
        <v>15014.445693792894</v>
      </c>
      <c r="E104" s="4">
        <f ca="1">IF(C104&lt;=$B$19,IF(D104&gt;=$B$30,D104-$B$30,0),0)</f>
        <v>0</v>
      </c>
    </row>
    <row r="105" spans="1:5" ht="15.6" x14ac:dyDescent="0.3">
      <c r="A105" s="1"/>
      <c r="B105" s="13"/>
      <c r="C105" s="11">
        <f>+C104+1</f>
        <v>75</v>
      </c>
      <c r="D105" s="4">
        <f ca="1">'POISSON-LOGNORM'!D101</f>
        <v>270.83653215378126</v>
      </c>
      <c r="E105" s="4">
        <f ca="1">IF(C105&lt;=$B$19,IF(D105&gt;=$B$30,D105-$B$30,0),0)</f>
        <v>0</v>
      </c>
    </row>
    <row r="106" spans="1:5" ht="15.6" x14ac:dyDescent="0.3">
      <c r="A106" s="1"/>
      <c r="B106" s="13"/>
      <c r="C106" s="11">
        <f>+C105+1</f>
        <v>76</v>
      </c>
      <c r="D106" s="4">
        <f ca="1">'POISSON-LOGNORM'!D102</f>
        <v>144.02170633906366</v>
      </c>
      <c r="E106" s="4">
        <f ca="1">IF(C106&lt;=$B$19,IF(D106&gt;=$B$30,D106-$B$30,0),0)</f>
        <v>0</v>
      </c>
    </row>
    <row r="107" spans="1:5" ht="15.6" x14ac:dyDescent="0.3">
      <c r="A107" s="1"/>
      <c r="B107" s="13"/>
      <c r="C107" s="11">
        <f>+C106+1</f>
        <v>77</v>
      </c>
      <c r="D107" s="4">
        <f ca="1">'POISSON-LOGNORM'!D103</f>
        <v>978.89494026448892</v>
      </c>
      <c r="E107" s="4">
        <f ca="1">IF(C107&lt;=$B$19,IF(D107&gt;=$B$30,D107-$B$30,0),0)</f>
        <v>0</v>
      </c>
    </row>
    <row r="108" spans="1:5" ht="15.6" x14ac:dyDescent="0.3">
      <c r="A108" s="1"/>
      <c r="B108" s="13"/>
      <c r="C108" s="11">
        <f>+C107+1</f>
        <v>78</v>
      </c>
      <c r="D108" s="4">
        <f ca="1">'POISSON-LOGNORM'!D104</f>
        <v>323.99863822840825</v>
      </c>
      <c r="E108" s="4">
        <f ca="1">IF(C108&lt;=$B$19,IF(D108&gt;=$B$30,D108-$B$30,0),0)</f>
        <v>0</v>
      </c>
    </row>
    <row r="109" spans="1:5" ht="15.6" x14ac:dyDescent="0.3">
      <c r="A109" s="1"/>
      <c r="B109" s="13"/>
      <c r="C109" s="11">
        <f>+C108+1</f>
        <v>79</v>
      </c>
      <c r="D109" s="4">
        <f ca="1">'POISSON-LOGNORM'!D105</f>
        <v>84.185324496596351</v>
      </c>
      <c r="E109" s="4">
        <f ca="1">IF(C109&lt;=$B$19,IF(D109&gt;=$B$30,D109-$B$30,0),0)</f>
        <v>0</v>
      </c>
    </row>
    <row r="110" spans="1:5" ht="15.6" x14ac:dyDescent="0.3">
      <c r="A110" s="1"/>
      <c r="B110" s="13"/>
      <c r="C110" s="11">
        <f>+C109+1</f>
        <v>80</v>
      </c>
      <c r="D110" s="4">
        <f ca="1">'POISSON-LOGNORM'!D106</f>
        <v>1403.7977884969034</v>
      </c>
      <c r="E110" s="4">
        <f ca="1">IF(C110&lt;=$B$19,IF(D110&gt;=$B$30,D110-$B$30,0),0)</f>
        <v>0</v>
      </c>
    </row>
    <row r="111" spans="1:5" ht="15.6" x14ac:dyDescent="0.3">
      <c r="A111" s="1"/>
      <c r="B111" s="13"/>
      <c r="C111" s="11">
        <f>+C110+1</f>
        <v>81</v>
      </c>
      <c r="D111" s="4">
        <f ca="1">'POISSON-LOGNORM'!D107</f>
        <v>4052.0228641524777</v>
      </c>
      <c r="E111" s="4">
        <f ca="1">IF(C111&lt;=$B$19,IF(D111&gt;=$B$30,D111-$B$30,0),0)</f>
        <v>0</v>
      </c>
    </row>
    <row r="112" spans="1:5" ht="15.6" x14ac:dyDescent="0.3">
      <c r="A112" s="1"/>
      <c r="B112" s="13"/>
      <c r="C112" s="11">
        <f>+C111+1</f>
        <v>82</v>
      </c>
      <c r="D112" s="4">
        <f ca="1">'POISSON-LOGNORM'!D108</f>
        <v>199.71096280817488</v>
      </c>
      <c r="E112" s="4">
        <f ca="1">IF(C112&lt;=$B$19,IF(D112&gt;=$B$30,D112-$B$30,0),0)</f>
        <v>0</v>
      </c>
    </row>
    <row r="113" spans="1:5" ht="15.6" x14ac:dyDescent="0.3">
      <c r="A113" s="1"/>
      <c r="B113" s="13"/>
      <c r="C113" s="11">
        <f>+C112+1</f>
        <v>83</v>
      </c>
      <c r="D113" s="4">
        <f ca="1">'POISSON-LOGNORM'!D109</f>
        <v>1153.4453507105757</v>
      </c>
      <c r="E113" s="4">
        <f ca="1">IF(C113&lt;=$B$19,IF(D113&gt;=$B$30,D113-$B$30,0),0)</f>
        <v>0</v>
      </c>
    </row>
    <row r="114" spans="1:5" ht="15.6" x14ac:dyDescent="0.3">
      <c r="A114" s="1"/>
      <c r="B114" s="13"/>
      <c r="C114" s="11">
        <f>+C113+1</f>
        <v>84</v>
      </c>
      <c r="D114" s="4">
        <f ca="1">'POISSON-LOGNORM'!D110</f>
        <v>793.33454671235063</v>
      </c>
      <c r="E114" s="4">
        <f ca="1">IF(C114&lt;=$B$19,IF(D114&gt;=$B$30,D114-$B$30,0),0)</f>
        <v>0</v>
      </c>
    </row>
    <row r="115" spans="1:5" ht="15.6" x14ac:dyDescent="0.3">
      <c r="A115" s="1"/>
      <c r="B115" s="13"/>
      <c r="C115" s="11">
        <f>+C114+1</f>
        <v>85</v>
      </c>
      <c r="D115" s="4">
        <f ca="1">'POISSON-LOGNORM'!D111</f>
        <v>337.55451911969993</v>
      </c>
      <c r="E115" s="4">
        <f ca="1">IF(C115&lt;=$B$19,IF(D115&gt;=$B$30,D115-$B$30,0),0)</f>
        <v>0</v>
      </c>
    </row>
    <row r="116" spans="1:5" ht="15.6" x14ac:dyDescent="0.3">
      <c r="A116" s="1"/>
      <c r="B116" s="13"/>
      <c r="C116" s="11">
        <f>+C115+1</f>
        <v>86</v>
      </c>
      <c r="D116" s="4">
        <f ca="1">'POISSON-LOGNORM'!D112</f>
        <v>167.25514520389299</v>
      </c>
      <c r="E116" s="4">
        <f ca="1">IF(C116&lt;=$B$19,IF(D116&gt;=$B$30,D116-$B$30,0),0)</f>
        <v>0</v>
      </c>
    </row>
    <row r="117" spans="1:5" ht="15.6" x14ac:dyDescent="0.3">
      <c r="A117" s="1"/>
      <c r="B117" s="13"/>
      <c r="C117" s="11">
        <f>+C116+1</f>
        <v>87</v>
      </c>
      <c r="D117" s="4">
        <f ca="1">'POISSON-LOGNORM'!D113</f>
        <v>62.78378629091489</v>
      </c>
      <c r="E117" s="4">
        <f ca="1">IF(C117&lt;=$B$19,IF(D117&gt;=$B$30,D117-$B$30,0),0)</f>
        <v>0</v>
      </c>
    </row>
    <row r="118" spans="1:5" ht="15.6" x14ac:dyDescent="0.3">
      <c r="A118" s="1"/>
      <c r="B118" s="13"/>
      <c r="C118" s="11">
        <f>+C117+1</f>
        <v>88</v>
      </c>
      <c r="D118" s="4">
        <f ca="1">'POISSON-LOGNORM'!D114</f>
        <v>3456.2754279889491</v>
      </c>
      <c r="E118" s="4">
        <f ca="1">IF(C118&lt;=$B$19,IF(D118&gt;=$B$30,D118-$B$30,0),0)</f>
        <v>0</v>
      </c>
    </row>
    <row r="119" spans="1:5" ht="15.6" x14ac:dyDescent="0.3">
      <c r="A119" s="1"/>
      <c r="B119" s="13"/>
      <c r="C119" s="11">
        <f>+C118+1</f>
        <v>89</v>
      </c>
      <c r="D119" s="4">
        <f ca="1">'POISSON-LOGNORM'!D115</f>
        <v>2585.2547229838692</v>
      </c>
      <c r="E119" s="4">
        <f ca="1">IF(C119&lt;=$B$19,IF(D119&gt;=$B$30,D119-$B$30,0),0)</f>
        <v>0</v>
      </c>
    </row>
    <row r="120" spans="1:5" ht="15.6" x14ac:dyDescent="0.3">
      <c r="A120" s="1"/>
      <c r="B120" s="13"/>
      <c r="C120" s="11">
        <f>+C119+1</f>
        <v>90</v>
      </c>
      <c r="D120" s="4">
        <f ca="1">'POISSON-LOGNORM'!D116</f>
        <v>534.19851916699315</v>
      </c>
      <c r="E120" s="4">
        <f ca="1">IF(C120&lt;=$B$19,IF(D120&gt;=$B$30,D120-$B$30,0),0)</f>
        <v>0</v>
      </c>
    </row>
    <row r="121" spans="1:5" ht="15.6" x14ac:dyDescent="0.3">
      <c r="A121" s="1"/>
      <c r="B121" s="13"/>
      <c r="C121" s="11">
        <f>+C120+1</f>
        <v>91</v>
      </c>
      <c r="D121" s="4">
        <f ca="1">'POISSON-LOGNORM'!D117</f>
        <v>552.3962093129511</v>
      </c>
      <c r="E121" s="4">
        <f ca="1">IF(C121&lt;=$B$19,IF(D121&gt;=$B$30,D121-$B$30,0),0)</f>
        <v>0</v>
      </c>
    </row>
    <row r="122" spans="1:5" ht="15.6" x14ac:dyDescent="0.3">
      <c r="A122" s="1"/>
      <c r="B122" s="13"/>
      <c r="C122" s="11">
        <f>+C121+1</f>
        <v>92</v>
      </c>
      <c r="D122" s="4">
        <f ca="1">'POISSON-LOGNORM'!D118</f>
        <v>163.42382547632229</v>
      </c>
      <c r="E122" s="4">
        <f ca="1">IF(C122&lt;=$B$19,IF(D122&gt;=$B$30,D122-$B$30,0),0)</f>
        <v>0</v>
      </c>
    </row>
    <row r="123" spans="1:5" ht="15.6" x14ac:dyDescent="0.3">
      <c r="A123" s="1"/>
      <c r="B123" s="13"/>
      <c r="C123" s="11">
        <f>+C122+1</f>
        <v>93</v>
      </c>
      <c r="D123" s="4">
        <f ca="1">'POISSON-LOGNORM'!D119</f>
        <v>216.77653304118925</v>
      </c>
      <c r="E123" s="4">
        <f ca="1">IF(C123&lt;=$B$19,IF(D123&gt;=$B$30,D123-$B$30,0),0)</f>
        <v>0</v>
      </c>
    </row>
    <row r="124" spans="1:5" ht="15.6" x14ac:dyDescent="0.3">
      <c r="A124" s="1"/>
      <c r="B124" s="13"/>
      <c r="C124" s="11">
        <f>+C123+1</f>
        <v>94</v>
      </c>
      <c r="D124" s="4">
        <f ca="1">'POISSON-LOGNORM'!D120</f>
        <v>18768.87546552534</v>
      </c>
      <c r="E124" s="4">
        <f ca="1">IF(C124&lt;=$B$19,IF(D124&gt;=$B$30,D124-$B$30,0),0)</f>
        <v>0</v>
      </c>
    </row>
    <row r="125" spans="1:5" ht="15.6" x14ac:dyDescent="0.3">
      <c r="A125" s="1"/>
      <c r="B125" s="13"/>
      <c r="C125" s="11">
        <f>+C124+1</f>
        <v>95</v>
      </c>
      <c r="D125" s="4">
        <f ca="1">'POISSON-LOGNORM'!D121</f>
        <v>1024.6977682844924</v>
      </c>
      <c r="E125" s="4">
        <f ca="1">IF(C125&lt;=$B$19,IF(D125&gt;=$B$30,D125-$B$30,0),0)</f>
        <v>0</v>
      </c>
    </row>
    <row r="126" spans="1:5" ht="15.6" x14ac:dyDescent="0.3">
      <c r="A126" s="1"/>
      <c r="B126" s="13"/>
      <c r="C126" s="11">
        <f>+C125+1</f>
        <v>96</v>
      </c>
      <c r="D126" s="4">
        <f ca="1">'POISSON-LOGNORM'!D122</f>
        <v>213.18238675662596</v>
      </c>
      <c r="E126" s="4">
        <f ca="1">IF(C126&lt;=$B$19,IF(D126&gt;=$B$30,D126-$B$30,0),0)</f>
        <v>0</v>
      </c>
    </row>
    <row r="127" spans="1:5" ht="15.6" x14ac:dyDescent="0.3">
      <c r="A127" s="1"/>
      <c r="B127" s="13"/>
      <c r="C127" s="11">
        <f>+C126+1</f>
        <v>97</v>
      </c>
      <c r="D127" s="4">
        <f ca="1">'POISSON-LOGNORM'!D123</f>
        <v>4879.256219753308</v>
      </c>
      <c r="E127" s="4">
        <f ca="1">IF(C127&lt;=$B$19,IF(D127&gt;=$B$30,D127-$B$30,0),0)</f>
        <v>0</v>
      </c>
    </row>
    <row r="128" spans="1:5" ht="15.6" x14ac:dyDescent="0.3">
      <c r="A128" s="1"/>
      <c r="B128" s="13"/>
      <c r="C128" s="11">
        <f>+C127+1</f>
        <v>98</v>
      </c>
      <c r="D128" s="4">
        <f ca="1">'POISSON-LOGNORM'!D124</f>
        <v>8750.1339746918002</v>
      </c>
      <c r="E128" s="4">
        <f ca="1">IF(C128&lt;=$B$19,IF(D128&gt;=$B$30,D128-$B$30,0),0)</f>
        <v>0</v>
      </c>
    </row>
    <row r="129" spans="1:5" ht="15.6" x14ac:dyDescent="0.3">
      <c r="A129" s="1"/>
      <c r="B129" s="13"/>
      <c r="C129" s="11">
        <f>+C128+1</f>
        <v>99</v>
      </c>
      <c r="D129" s="4">
        <f ca="1">'POISSON-LOGNORM'!D125</f>
        <v>954.43707575584187</v>
      </c>
      <c r="E129" s="4">
        <f ca="1">IF(C129&lt;=$B$19,IF(D129&gt;=$B$30,D129-$B$30,0),0)</f>
        <v>0</v>
      </c>
    </row>
    <row r="130" spans="1:5" ht="15.6" x14ac:dyDescent="0.3">
      <c r="A130" s="1"/>
      <c r="B130" s="13"/>
      <c r="C130" s="11">
        <f>+C129+1</f>
        <v>100</v>
      </c>
      <c r="D130" s="4">
        <f ca="1">'POISSON-LOGNORM'!D126</f>
        <v>101.71891260981711</v>
      </c>
      <c r="E130" s="4">
        <f ca="1">IF(C130&lt;=$B$19,IF(D130&gt;=$B$30,D130-$B$30,0),0)</f>
        <v>0</v>
      </c>
    </row>
    <row r="131" spans="1:5" ht="15.6" x14ac:dyDescent="0.3">
      <c r="A131" s="3"/>
      <c r="B131" s="7"/>
      <c r="D131" s="10"/>
      <c r="E131" s="6"/>
    </row>
    <row r="132" spans="1:5" ht="15.6" x14ac:dyDescent="0.3">
      <c r="A132" s="3"/>
      <c r="B132" s="7"/>
      <c r="D132" s="10"/>
      <c r="E132" s="6"/>
    </row>
    <row r="133" spans="1:5" ht="15.6" x14ac:dyDescent="0.3">
      <c r="A133" s="3"/>
      <c r="B133" s="7"/>
      <c r="D133" s="10"/>
      <c r="E133" s="6"/>
    </row>
    <row r="134" spans="1:5" ht="15.6" x14ac:dyDescent="0.3">
      <c r="A134" s="3"/>
      <c r="B134" s="7"/>
      <c r="D134" s="10"/>
      <c r="E134" s="6"/>
    </row>
    <row r="135" spans="1:5" ht="15.6" x14ac:dyDescent="0.3">
      <c r="A135" s="3"/>
      <c r="B135" s="7"/>
      <c r="D135" s="10"/>
      <c r="E135" s="6"/>
    </row>
    <row r="136" spans="1:5" ht="15.6" x14ac:dyDescent="0.3">
      <c r="A136" s="3"/>
      <c r="B136" s="7"/>
      <c r="D136" s="10"/>
      <c r="E136" s="6"/>
    </row>
    <row r="137" spans="1:5" ht="15.6" x14ac:dyDescent="0.3">
      <c r="A137" s="3"/>
      <c r="B137" s="7"/>
      <c r="D137" s="10"/>
      <c r="E137" s="6"/>
    </row>
    <row r="138" spans="1:5" ht="15.6" x14ac:dyDescent="0.3">
      <c r="A138" s="3"/>
      <c r="B138" s="7"/>
      <c r="D138" s="10"/>
      <c r="E138" s="6"/>
    </row>
    <row r="139" spans="1:5" ht="15.6" x14ac:dyDescent="0.3">
      <c r="A139" s="3"/>
      <c r="B139" s="7"/>
      <c r="D139" s="10"/>
      <c r="E139" s="6"/>
    </row>
    <row r="140" spans="1:5" ht="15.6" x14ac:dyDescent="0.3">
      <c r="A140" s="3"/>
      <c r="B140" s="7"/>
      <c r="D140" s="10"/>
      <c r="E140" s="6"/>
    </row>
    <row r="141" spans="1:5" ht="15.6" x14ac:dyDescent="0.3">
      <c r="A141" s="3"/>
      <c r="B141" s="7"/>
      <c r="D141" s="10"/>
      <c r="E141" s="6"/>
    </row>
    <row r="142" spans="1:5" ht="15.6" x14ac:dyDescent="0.3">
      <c r="A142" s="3"/>
      <c r="B142" s="7"/>
      <c r="D142" s="10"/>
      <c r="E142" s="6"/>
    </row>
    <row r="143" spans="1:5" ht="15.6" x14ac:dyDescent="0.3">
      <c r="A143" s="3"/>
      <c r="B143" s="7"/>
      <c r="D143" s="10"/>
      <c r="E143" s="6"/>
    </row>
    <row r="144" spans="1:5" ht="15.6" x14ac:dyDescent="0.3">
      <c r="A144" s="3"/>
      <c r="B144" s="7"/>
      <c r="D144" s="10"/>
      <c r="E144" s="6"/>
    </row>
    <row r="145" spans="1:5" ht="15.6" x14ac:dyDescent="0.3">
      <c r="A145" s="3"/>
      <c r="B145" s="7"/>
      <c r="D145" s="10"/>
      <c r="E145" s="6"/>
    </row>
  </sheetData>
  <mergeCells count="1">
    <mergeCell ref="C12:CZ12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Equation.3" shapeId="2050" r:id="rId4">
          <objectPr defaultSize="0" autoPict="0" r:id="rId5">
            <anchor moveWithCells="1">
              <from>
                <xdr:col>7</xdr:col>
                <xdr:colOff>899160</xdr:colOff>
                <xdr:row>19</xdr:row>
                <xdr:rowOff>129540</xdr:rowOff>
              </from>
              <to>
                <xdr:col>8</xdr:col>
                <xdr:colOff>121920</xdr:colOff>
                <xdr:row>22</xdr:row>
                <xdr:rowOff>114300</xdr:rowOff>
              </to>
            </anchor>
          </objectPr>
        </oleObject>
      </mc:Choice>
      <mc:Fallback>
        <oleObject progId="Equation.3" shapeId="2050" r:id="rId4"/>
      </mc:Fallback>
    </mc:AlternateContent>
    <mc:AlternateContent xmlns:mc="http://schemas.openxmlformats.org/markup-compatibility/2006">
      <mc:Choice Requires="x14">
        <oleObject progId="Equation.3" shapeId="2051" r:id="rId6">
          <objectPr defaultSize="0" autoPict="0" r:id="rId7">
            <anchor moveWithCells="1">
              <from>
                <xdr:col>6</xdr:col>
                <xdr:colOff>1249680</xdr:colOff>
                <xdr:row>19</xdr:row>
                <xdr:rowOff>99060</xdr:rowOff>
              </from>
              <to>
                <xdr:col>7</xdr:col>
                <xdr:colOff>335280</xdr:colOff>
                <xdr:row>22</xdr:row>
                <xdr:rowOff>106680</xdr:rowOff>
              </to>
            </anchor>
          </objectPr>
        </oleObject>
      </mc:Choice>
      <mc:Fallback>
        <oleObject progId="Equation.3" shapeId="2051" r:id="rId6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3"/>
  <dimension ref="B1:K1002"/>
  <sheetViews>
    <sheetView topLeftCell="A983" zoomScale="130" zoomScaleNormal="130" workbookViewId="0">
      <selection activeCell="D3" sqref="D3:D1002"/>
    </sheetView>
  </sheetViews>
  <sheetFormatPr defaultRowHeight="14.4" x14ac:dyDescent="0.3"/>
  <cols>
    <col min="2" max="2" width="14.44140625" customWidth="1"/>
    <col min="3" max="3" width="9.21875" customWidth="1"/>
    <col min="6" max="6" width="13.21875" customWidth="1"/>
    <col min="7" max="7" width="13" bestFit="1" customWidth="1"/>
    <col min="8" max="8" width="18.21875" customWidth="1"/>
    <col min="9" max="9" width="18.77734375" bestFit="1" customWidth="1"/>
    <col min="10" max="11" width="16.6640625" bestFit="1" customWidth="1"/>
  </cols>
  <sheetData>
    <row r="1" spans="2:9" ht="15" thickBot="1" x14ac:dyDescent="0.35"/>
    <row r="2" spans="2:9" x14ac:dyDescent="0.3">
      <c r="B2" s="18" t="s">
        <v>13</v>
      </c>
      <c r="C2" s="19" t="s">
        <v>14</v>
      </c>
      <c r="D2" s="20" t="s">
        <v>15</v>
      </c>
    </row>
    <row r="3" spans="2:9" x14ac:dyDescent="0.3">
      <c r="B3" s="11">
        <v>1</v>
      </c>
      <c r="C3" s="11">
        <v>94565.12064236404</v>
      </c>
      <c r="D3" s="11">
        <v>94565.12064236404</v>
      </c>
    </row>
    <row r="4" spans="2:9" x14ac:dyDescent="0.3">
      <c r="B4" s="11">
        <f>B3+1</f>
        <v>2</v>
      </c>
      <c r="C4" s="11">
        <v>113233.61718517353</v>
      </c>
      <c r="D4" s="11">
        <v>113233.61718517353</v>
      </c>
    </row>
    <row r="5" spans="2:9" x14ac:dyDescent="0.3">
      <c r="B5" s="11">
        <f t="shared" ref="B5:B68" si="0">B4+1</f>
        <v>3</v>
      </c>
      <c r="C5" s="11">
        <v>68005.884399668998</v>
      </c>
      <c r="D5" s="11">
        <v>68005.884399668998</v>
      </c>
      <c r="G5" s="12" t="s">
        <v>67</v>
      </c>
      <c r="H5" s="12" t="s">
        <v>69</v>
      </c>
    </row>
    <row r="6" spans="2:9" x14ac:dyDescent="0.3">
      <c r="B6" s="11">
        <f t="shared" si="0"/>
        <v>4</v>
      </c>
      <c r="C6" s="11">
        <v>137805.74240538481</v>
      </c>
      <c r="D6" s="11">
        <v>137805.74240538481</v>
      </c>
      <c r="F6" s="12" t="s">
        <v>63</v>
      </c>
      <c r="G6" s="16">
        <f>'POISSON-LOGNORM'!B4</f>
        <v>41.244033412887823</v>
      </c>
      <c r="H6" s="16">
        <f>G6</f>
        <v>41.244033412887823</v>
      </c>
    </row>
    <row r="7" spans="2:9" x14ac:dyDescent="0.3">
      <c r="B7" s="11">
        <f t="shared" si="0"/>
        <v>5</v>
      </c>
      <c r="C7" s="11">
        <v>122975.33437958553</v>
      </c>
      <c r="D7" s="11">
        <v>122975.33437958553</v>
      </c>
      <c r="F7" s="12" t="s">
        <v>64</v>
      </c>
      <c r="G7" s="16">
        <f>G6</f>
        <v>41.244033412887823</v>
      </c>
      <c r="H7" s="16">
        <f>'BIN.NEG.-LOGNORM'!B8</f>
        <v>43.360689424722743</v>
      </c>
    </row>
    <row r="8" spans="2:9" x14ac:dyDescent="0.3">
      <c r="B8" s="11">
        <f t="shared" si="0"/>
        <v>6</v>
      </c>
      <c r="C8" s="11">
        <v>44856.433628873827</v>
      </c>
      <c r="D8" s="11">
        <v>44856.433628873827</v>
      </c>
      <c r="F8" s="12" t="s">
        <v>60</v>
      </c>
      <c r="G8" s="109">
        <f>'BIN.NEG.-LOGNORM'!B23</f>
        <v>2705.6966546112117</v>
      </c>
      <c r="H8" s="109">
        <f>G8</f>
        <v>2705.6966546112117</v>
      </c>
    </row>
    <row r="9" spans="2:9" x14ac:dyDescent="0.3">
      <c r="B9" s="11">
        <f t="shared" si="0"/>
        <v>7</v>
      </c>
      <c r="C9" s="11">
        <v>91642.374985859438</v>
      </c>
      <c r="D9" s="11">
        <v>91642.374985859438</v>
      </c>
      <c r="F9" s="12" t="s">
        <v>61</v>
      </c>
      <c r="G9" s="109">
        <f>'BIN.NEG.-LOGNORM'!B24</f>
        <v>43464634.840395682</v>
      </c>
      <c r="H9" s="109">
        <f>G9</f>
        <v>43464634.840395682</v>
      </c>
    </row>
    <row r="10" spans="2:9" ht="15" thickBot="1" x14ac:dyDescent="0.35">
      <c r="B10" s="11">
        <f t="shared" si="0"/>
        <v>8</v>
      </c>
      <c r="C10" s="11">
        <v>52897.607563590667</v>
      </c>
      <c r="D10" s="11">
        <v>52897.607563590667</v>
      </c>
    </row>
    <row r="11" spans="2:9" ht="15" thickBot="1" x14ac:dyDescent="0.35">
      <c r="B11" s="11">
        <f t="shared" si="0"/>
        <v>9</v>
      </c>
      <c r="C11" s="11">
        <v>73001.625786211865</v>
      </c>
      <c r="D11" s="11">
        <v>73001.625786211865</v>
      </c>
      <c r="H11" s="21" t="s">
        <v>18</v>
      </c>
      <c r="I11" s="22">
        <v>1000</v>
      </c>
    </row>
    <row r="12" spans="2:9" x14ac:dyDescent="0.3">
      <c r="B12" s="11">
        <f t="shared" si="0"/>
        <v>10</v>
      </c>
      <c r="C12" s="11">
        <v>90139.585607662608</v>
      </c>
      <c r="D12" s="11">
        <v>90139.585607662608</v>
      </c>
    </row>
    <row r="13" spans="2:9" x14ac:dyDescent="0.3">
      <c r="B13" s="11">
        <f t="shared" si="0"/>
        <v>11</v>
      </c>
      <c r="C13" s="11">
        <v>93454.633977869657</v>
      </c>
      <c r="D13" s="11">
        <v>93454.633977869657</v>
      </c>
      <c r="H13" s="215" t="s">
        <v>66</v>
      </c>
      <c r="I13" s="215"/>
    </row>
    <row r="14" spans="2:9" x14ac:dyDescent="0.3">
      <c r="B14" s="11">
        <f t="shared" si="0"/>
        <v>12</v>
      </c>
      <c r="C14" s="11">
        <v>113907.56095047007</v>
      </c>
      <c r="D14" s="11">
        <v>113907.56095047007</v>
      </c>
      <c r="H14" s="33" t="s">
        <v>67</v>
      </c>
      <c r="I14" s="33" t="s">
        <v>68</v>
      </c>
    </row>
    <row r="15" spans="2:9" x14ac:dyDescent="0.3">
      <c r="B15" s="11">
        <f t="shared" si="0"/>
        <v>13</v>
      </c>
      <c r="C15" s="11">
        <v>105169.26833397543</v>
      </c>
      <c r="D15" s="11">
        <v>105169.26833397543</v>
      </c>
      <c r="G15" s="24" t="s">
        <v>19</v>
      </c>
      <c r="H15" s="32">
        <f>H20/I20-1</f>
        <v>1.8467061478462554E-2</v>
      </c>
      <c r="I15" s="32">
        <f>J20/K20-1</f>
        <v>1.8813279356548751E-2</v>
      </c>
    </row>
    <row r="16" spans="2:9" x14ac:dyDescent="0.3">
      <c r="B16" s="11">
        <f t="shared" si="0"/>
        <v>14</v>
      </c>
      <c r="C16" s="11">
        <v>108410.72373234647</v>
      </c>
      <c r="D16" s="11">
        <v>108410.72373234647</v>
      </c>
      <c r="G16" s="25" t="s">
        <v>65</v>
      </c>
      <c r="H16" s="32">
        <f>H22/I22-1</f>
        <v>9.8980534914730578E-2</v>
      </c>
      <c r="I16" s="32">
        <f>J22/K22-1</f>
        <v>9.8000513282846979E-2</v>
      </c>
    </row>
    <row r="17" spans="2:11" ht="15" thickBot="1" x14ac:dyDescent="0.35">
      <c r="B17" s="11">
        <f t="shared" si="0"/>
        <v>15</v>
      </c>
      <c r="C17" s="11">
        <v>122237.96657006374</v>
      </c>
      <c r="D17" s="11">
        <v>127293.06153516794</v>
      </c>
    </row>
    <row r="18" spans="2:11" x14ac:dyDescent="0.3">
      <c r="B18" s="11">
        <f t="shared" si="0"/>
        <v>16</v>
      </c>
      <c r="C18" s="11">
        <v>95112.029617709864</v>
      </c>
      <c r="D18" s="11">
        <v>95112.029617709864</v>
      </c>
      <c r="G18" s="18"/>
      <c r="H18" s="211" t="s">
        <v>14</v>
      </c>
      <c r="I18" s="211"/>
      <c r="J18" s="211" t="s">
        <v>24</v>
      </c>
      <c r="K18" s="211"/>
    </row>
    <row r="19" spans="2:11" x14ac:dyDescent="0.3">
      <c r="B19" s="11">
        <f t="shared" si="0"/>
        <v>17</v>
      </c>
      <c r="C19" s="11">
        <v>89246.192970238539</v>
      </c>
      <c r="D19" s="11">
        <v>89246.192970238539</v>
      </c>
      <c r="G19" s="23"/>
      <c r="H19" s="117" t="s">
        <v>22</v>
      </c>
      <c r="I19" s="117" t="s">
        <v>23</v>
      </c>
      <c r="J19" s="117" t="s">
        <v>22</v>
      </c>
      <c r="K19" s="117" t="s">
        <v>23</v>
      </c>
    </row>
    <row r="20" spans="2:11" x14ac:dyDescent="0.3">
      <c r="B20" s="11">
        <f t="shared" si="0"/>
        <v>18</v>
      </c>
      <c r="C20" s="11">
        <v>73084.727472460101</v>
      </c>
      <c r="D20" s="11">
        <v>73084.727472460101</v>
      </c>
      <c r="G20" s="24" t="s">
        <v>19</v>
      </c>
      <c r="H20" s="15">
        <f>G6*G8</f>
        <v>111593.84322792361</v>
      </c>
      <c r="I20" s="135">
        <f>AVERAGE(C3:C1002)</f>
        <v>109570.39991644687</v>
      </c>
      <c r="J20" s="121">
        <f>H6*H8</f>
        <v>111593.84322792361</v>
      </c>
      <c r="K20" s="135">
        <f>AVERAGE(D3:D1002)</f>
        <v>109533.16519235287</v>
      </c>
    </row>
    <row r="21" spans="2:11" x14ac:dyDescent="0.3">
      <c r="B21" s="11">
        <f t="shared" si="0"/>
        <v>19</v>
      </c>
      <c r="C21" s="11">
        <v>142004.82357465662</v>
      </c>
      <c r="D21" s="11">
        <v>142004.82357465662</v>
      </c>
      <c r="G21" s="25" t="s">
        <v>20</v>
      </c>
      <c r="H21" s="15">
        <f>G6*G9+G7*G8^2</f>
        <v>2094595939.9332485</v>
      </c>
      <c r="I21" s="135">
        <f>_xlfn.VAR.P(C3:C1002)</f>
        <v>1734284157.188122</v>
      </c>
      <c r="J21" s="121">
        <f>H6*H9+H7*H8^2</f>
        <v>2110091543.3834219</v>
      </c>
      <c r="K21" s="132">
        <f>_xlfn.VAR.P(D3:D1002)</f>
        <v>1750234380.918438</v>
      </c>
    </row>
    <row r="22" spans="2:11" ht="15" thickBot="1" x14ac:dyDescent="0.35">
      <c r="B22" s="11">
        <f t="shared" si="0"/>
        <v>20</v>
      </c>
      <c r="C22" s="11">
        <v>90043.203673481024</v>
      </c>
      <c r="D22" s="11">
        <v>90043.203673481024</v>
      </c>
      <c r="G22" s="25" t="s">
        <v>65</v>
      </c>
      <c r="H22" s="15">
        <f>SQRT(H21)</f>
        <v>45766.755837979697</v>
      </c>
      <c r="I22" s="135">
        <f>SQRT(I21)</f>
        <v>41644.737448903696</v>
      </c>
      <c r="J22" s="15">
        <f>SQRT(J21)</f>
        <v>45935.732751132011</v>
      </c>
      <c r="K22" s="135">
        <f>SQRT(K21)</f>
        <v>41835.802620703216</v>
      </c>
    </row>
    <row r="23" spans="2:11" ht="17.25" customHeight="1" x14ac:dyDescent="0.3">
      <c r="B23" s="11">
        <f t="shared" si="0"/>
        <v>21</v>
      </c>
      <c r="C23" s="11">
        <v>98678.532632524424</v>
      </c>
      <c r="D23" s="11">
        <v>98678.532632524424</v>
      </c>
      <c r="F23" s="212" t="s">
        <v>21</v>
      </c>
      <c r="G23" s="26">
        <v>0.5</v>
      </c>
      <c r="H23" s="30"/>
      <c r="I23" s="134">
        <f>PERCENTILE($C$3:$C$1002,G23)</f>
        <v>103192.56838487493</v>
      </c>
      <c r="J23" s="28"/>
      <c r="K23" s="134">
        <f>PERCENTILE($D$3:$D$1002,G23)</f>
        <v>103056.8875857986</v>
      </c>
    </row>
    <row r="24" spans="2:11" x14ac:dyDescent="0.3">
      <c r="B24" s="11">
        <f t="shared" si="0"/>
        <v>22</v>
      </c>
      <c r="C24" s="11">
        <v>250491.55528007195</v>
      </c>
      <c r="D24" s="11">
        <v>250491.55528007195</v>
      </c>
      <c r="F24" s="213"/>
      <c r="G24" s="26">
        <v>0.75</v>
      </c>
      <c r="H24" s="30"/>
      <c r="I24" s="134">
        <f t="shared" ref="I24:I25" si="1">PERCENTILE($C$3:$C$1002,G24)</f>
        <v>129849.04103351453</v>
      </c>
      <c r="J24" s="28"/>
      <c r="K24" s="134">
        <f t="shared" ref="K24:K25" si="2">PERCENTILE($D$3:$D$1002,G24)</f>
        <v>130017.37545097327</v>
      </c>
    </row>
    <row r="25" spans="2:11" ht="15" thickBot="1" x14ac:dyDescent="0.35">
      <c r="B25" s="11">
        <f t="shared" si="0"/>
        <v>23</v>
      </c>
      <c r="C25" s="11">
        <v>71006.76485943787</v>
      </c>
      <c r="D25" s="11">
        <v>71006.76485943787</v>
      </c>
      <c r="F25" s="214"/>
      <c r="G25" s="27">
        <v>0.995</v>
      </c>
      <c r="H25" s="31"/>
      <c r="I25" s="177">
        <f t="shared" si="1"/>
        <v>264508.07741588622</v>
      </c>
      <c r="J25" s="29"/>
      <c r="K25" s="177">
        <f t="shared" si="2"/>
        <v>264508.07741588622</v>
      </c>
    </row>
    <row r="26" spans="2:11" x14ac:dyDescent="0.3">
      <c r="B26" s="11">
        <f t="shared" si="0"/>
        <v>24</v>
      </c>
      <c r="C26" s="11">
        <v>140083.69522816158</v>
      </c>
      <c r="D26" s="11">
        <v>140345.99932516078</v>
      </c>
    </row>
    <row r="27" spans="2:11" x14ac:dyDescent="0.3">
      <c r="B27" s="11">
        <f t="shared" si="0"/>
        <v>25</v>
      </c>
      <c r="C27" s="11">
        <v>98919.857964849449</v>
      </c>
      <c r="D27" s="11">
        <v>98919.857964849449</v>
      </c>
    </row>
    <row r="28" spans="2:11" x14ac:dyDescent="0.3">
      <c r="B28" s="11">
        <f t="shared" si="0"/>
        <v>26</v>
      </c>
      <c r="C28" s="11">
        <v>133567.22326982798</v>
      </c>
      <c r="D28" s="11">
        <v>133567.22326982798</v>
      </c>
    </row>
    <row r="29" spans="2:11" x14ac:dyDescent="0.3">
      <c r="B29" s="11">
        <f t="shared" si="0"/>
        <v>27</v>
      </c>
      <c r="C29" s="11">
        <v>120953.58679780464</v>
      </c>
      <c r="D29" s="11">
        <v>120953.58679780464</v>
      </c>
      <c r="H29" t="s">
        <v>120</v>
      </c>
      <c r="I29" s="100" t="s">
        <v>57</v>
      </c>
      <c r="J29" s="100" t="s">
        <v>58</v>
      </c>
    </row>
    <row r="30" spans="2:11" ht="18" x14ac:dyDescent="0.35">
      <c r="B30" s="11">
        <f t="shared" si="0"/>
        <v>28</v>
      </c>
      <c r="C30" s="11">
        <v>65105.053851860743</v>
      </c>
      <c r="D30" s="11">
        <v>65105.053851860743</v>
      </c>
      <c r="I30" s="158">
        <f>LN(K20^2/SQRT(K21+K20^2))</f>
        <v>11.535894864854702</v>
      </c>
      <c r="J30" s="158">
        <f>SQRT(LN((K21+K20^2)/K20^2))</f>
        <v>0.36901977181322437</v>
      </c>
    </row>
    <row r="31" spans="2:11" x14ac:dyDescent="0.3">
      <c r="B31" s="11">
        <f t="shared" si="0"/>
        <v>29</v>
      </c>
      <c r="C31" s="11">
        <v>141756.74765468459</v>
      </c>
      <c r="D31" s="11">
        <v>141756.74765468459</v>
      </c>
      <c r="H31" t="s">
        <v>121</v>
      </c>
      <c r="I31" s="162">
        <f>_xlfn.LOGNORM.INV(0.995,I30,J30)</f>
        <v>264719.69930065674</v>
      </c>
    </row>
    <row r="32" spans="2:11" x14ac:dyDescent="0.3">
      <c r="B32" s="11">
        <f t="shared" si="0"/>
        <v>30</v>
      </c>
      <c r="C32" s="11">
        <v>67934.93399271743</v>
      </c>
      <c r="D32" s="11">
        <v>67934.93399271743</v>
      </c>
    </row>
    <row r="33" spans="2:4" x14ac:dyDescent="0.3">
      <c r="B33" s="11">
        <f t="shared" si="0"/>
        <v>31</v>
      </c>
      <c r="C33" s="11">
        <v>55108.893956380729</v>
      </c>
      <c r="D33" s="11">
        <v>55108.893956380729</v>
      </c>
    </row>
    <row r="34" spans="2:4" x14ac:dyDescent="0.3">
      <c r="B34" s="11">
        <f t="shared" si="0"/>
        <v>32</v>
      </c>
      <c r="C34" s="11">
        <v>95194.664231270537</v>
      </c>
      <c r="D34" s="11">
        <v>95194.664231270537</v>
      </c>
    </row>
    <row r="35" spans="2:4" x14ac:dyDescent="0.3">
      <c r="B35" s="11">
        <f t="shared" si="0"/>
        <v>33</v>
      </c>
      <c r="C35" s="11">
        <v>77913.375581244822</v>
      </c>
      <c r="D35" s="11">
        <v>77913.375581244822</v>
      </c>
    </row>
    <row r="36" spans="2:4" x14ac:dyDescent="0.3">
      <c r="B36" s="11">
        <f t="shared" si="0"/>
        <v>34</v>
      </c>
      <c r="C36" s="11">
        <v>125873.78671689388</v>
      </c>
      <c r="D36" s="11">
        <v>125873.78671689388</v>
      </c>
    </row>
    <row r="37" spans="2:4" x14ac:dyDescent="0.3">
      <c r="B37" s="11">
        <f t="shared" si="0"/>
        <v>35</v>
      </c>
      <c r="C37" s="11">
        <v>163683.83058111565</v>
      </c>
      <c r="D37" s="11">
        <v>164010.82745269974</v>
      </c>
    </row>
    <row r="38" spans="2:4" x14ac:dyDescent="0.3">
      <c r="B38" s="11">
        <f t="shared" si="0"/>
        <v>36</v>
      </c>
      <c r="C38" s="11">
        <v>53192.304013176996</v>
      </c>
      <c r="D38" s="11">
        <v>53192.304013176996</v>
      </c>
    </row>
    <row r="39" spans="2:4" x14ac:dyDescent="0.3">
      <c r="B39" s="11">
        <f t="shared" si="0"/>
        <v>37</v>
      </c>
      <c r="C39" s="11">
        <v>108507.82757557945</v>
      </c>
      <c r="D39" s="11">
        <v>108507.82757557945</v>
      </c>
    </row>
    <row r="40" spans="2:4" x14ac:dyDescent="0.3">
      <c r="B40" s="11">
        <f t="shared" si="0"/>
        <v>38</v>
      </c>
      <c r="C40" s="11">
        <v>144490.36666401708</v>
      </c>
      <c r="D40" s="11">
        <v>144490.36666401708</v>
      </c>
    </row>
    <row r="41" spans="2:4" x14ac:dyDescent="0.3">
      <c r="B41" s="11">
        <f t="shared" si="0"/>
        <v>39</v>
      </c>
      <c r="C41" s="11">
        <v>124077.08026747275</v>
      </c>
      <c r="D41" s="11">
        <v>124077.08026747275</v>
      </c>
    </row>
    <row r="42" spans="2:4" x14ac:dyDescent="0.3">
      <c r="B42" s="11">
        <f t="shared" si="0"/>
        <v>40</v>
      </c>
      <c r="C42" s="11">
        <v>89692.526867690845</v>
      </c>
      <c r="D42" s="11">
        <v>89692.526867690845</v>
      </c>
    </row>
    <row r="43" spans="2:4" x14ac:dyDescent="0.3">
      <c r="B43" s="11">
        <f t="shared" si="0"/>
        <v>41</v>
      </c>
      <c r="C43" s="11">
        <v>116495.12010905164</v>
      </c>
      <c r="D43" s="11">
        <v>116495.12010905164</v>
      </c>
    </row>
    <row r="44" spans="2:4" x14ac:dyDescent="0.3">
      <c r="B44" s="11">
        <f t="shared" si="0"/>
        <v>42</v>
      </c>
      <c r="C44" s="11">
        <v>66986.256194216781</v>
      </c>
      <c r="D44" s="11">
        <v>66986.256194216781</v>
      </c>
    </row>
    <row r="45" spans="2:4" x14ac:dyDescent="0.3">
      <c r="B45" s="11">
        <f t="shared" si="0"/>
        <v>43</v>
      </c>
      <c r="C45" s="11">
        <v>108299.71218210818</v>
      </c>
      <c r="D45" s="11">
        <v>108299.71218210818</v>
      </c>
    </row>
    <row r="46" spans="2:4" x14ac:dyDescent="0.3">
      <c r="B46" s="11">
        <f t="shared" si="0"/>
        <v>44</v>
      </c>
      <c r="C46" s="11">
        <v>83571.709417845195</v>
      </c>
      <c r="D46" s="11">
        <v>83571.709417845195</v>
      </c>
    </row>
    <row r="47" spans="2:4" x14ac:dyDescent="0.3">
      <c r="B47" s="11">
        <f t="shared" si="0"/>
        <v>45</v>
      </c>
      <c r="C47" s="11">
        <v>146103.66738240994</v>
      </c>
      <c r="D47" s="11">
        <v>146103.66738240994</v>
      </c>
    </row>
    <row r="48" spans="2:4" x14ac:dyDescent="0.3">
      <c r="B48" s="11">
        <f t="shared" si="0"/>
        <v>46</v>
      </c>
      <c r="C48" s="11">
        <v>135430.86953598796</v>
      </c>
      <c r="D48" s="11">
        <v>135430.86953598796</v>
      </c>
    </row>
    <row r="49" spans="2:4" x14ac:dyDescent="0.3">
      <c r="B49" s="11">
        <f t="shared" si="0"/>
        <v>47</v>
      </c>
      <c r="C49" s="11">
        <v>72545.470695497526</v>
      </c>
      <c r="D49" s="11">
        <v>72545.470695497526</v>
      </c>
    </row>
    <row r="50" spans="2:4" x14ac:dyDescent="0.3">
      <c r="B50" s="11">
        <f t="shared" si="0"/>
        <v>48</v>
      </c>
      <c r="C50" s="11">
        <v>79936.487738604876</v>
      </c>
      <c r="D50" s="11">
        <v>79936.487738604876</v>
      </c>
    </row>
    <row r="51" spans="2:4" x14ac:dyDescent="0.3">
      <c r="B51" s="11">
        <f t="shared" si="0"/>
        <v>49</v>
      </c>
      <c r="C51" s="11">
        <v>144626.36587748412</v>
      </c>
      <c r="D51" s="11">
        <v>144626.36587748412</v>
      </c>
    </row>
    <row r="52" spans="2:4" x14ac:dyDescent="0.3">
      <c r="B52" s="11">
        <f t="shared" si="0"/>
        <v>50</v>
      </c>
      <c r="C52" s="11">
        <v>74132.651479486216</v>
      </c>
      <c r="D52" s="11">
        <v>74132.651479486216</v>
      </c>
    </row>
    <row r="53" spans="2:4" x14ac:dyDescent="0.3">
      <c r="B53" s="11">
        <f t="shared" si="0"/>
        <v>51</v>
      </c>
      <c r="C53" s="11">
        <v>106038.02062647419</v>
      </c>
      <c r="D53" s="11">
        <v>106038.02062647419</v>
      </c>
    </row>
    <row r="54" spans="2:4" x14ac:dyDescent="0.3">
      <c r="B54" s="11">
        <f t="shared" si="0"/>
        <v>52</v>
      </c>
      <c r="C54" s="11">
        <v>85448.713534089271</v>
      </c>
      <c r="D54" s="11">
        <v>85448.713534089271</v>
      </c>
    </row>
    <row r="55" spans="2:4" x14ac:dyDescent="0.3">
      <c r="B55" s="11">
        <f t="shared" si="0"/>
        <v>53</v>
      </c>
      <c r="C55" s="11">
        <v>96153.317764819047</v>
      </c>
      <c r="D55" s="11">
        <v>78688.725304579202</v>
      </c>
    </row>
    <row r="56" spans="2:4" x14ac:dyDescent="0.3">
      <c r="B56" s="11">
        <f t="shared" si="0"/>
        <v>54</v>
      </c>
      <c r="C56" s="11">
        <v>165021.05217057629</v>
      </c>
      <c r="D56" s="11">
        <v>165021.05217057629</v>
      </c>
    </row>
    <row r="57" spans="2:4" x14ac:dyDescent="0.3">
      <c r="B57" s="11">
        <f t="shared" si="0"/>
        <v>55</v>
      </c>
      <c r="C57" s="11">
        <v>41137.580710864924</v>
      </c>
      <c r="D57" s="11">
        <v>38311.478522202102</v>
      </c>
    </row>
    <row r="58" spans="2:4" x14ac:dyDescent="0.3">
      <c r="B58" s="11">
        <f t="shared" si="0"/>
        <v>56</v>
      </c>
      <c r="C58" s="11">
        <v>149237.07004712924</v>
      </c>
      <c r="D58" s="11">
        <v>149237.07004712924</v>
      </c>
    </row>
    <row r="59" spans="2:4" x14ac:dyDescent="0.3">
      <c r="B59" s="11">
        <f t="shared" si="0"/>
        <v>57</v>
      </c>
      <c r="C59" s="11">
        <v>147929.12701994111</v>
      </c>
      <c r="D59" s="11">
        <v>147929.12701994111</v>
      </c>
    </row>
    <row r="60" spans="2:4" x14ac:dyDescent="0.3">
      <c r="B60" s="11">
        <f t="shared" si="0"/>
        <v>58</v>
      </c>
      <c r="C60" s="11">
        <v>25539.861356669095</v>
      </c>
      <c r="D60" s="11">
        <v>25339.107587565293</v>
      </c>
    </row>
    <row r="61" spans="2:4" x14ac:dyDescent="0.3">
      <c r="B61" s="11">
        <f t="shared" si="0"/>
        <v>59</v>
      </c>
      <c r="C61" s="11">
        <v>87147.214603746135</v>
      </c>
      <c r="D61" s="11">
        <v>87147.214603746135</v>
      </c>
    </row>
    <row r="62" spans="2:4" x14ac:dyDescent="0.3">
      <c r="B62" s="11">
        <f t="shared" si="0"/>
        <v>60</v>
      </c>
      <c r="C62" s="11">
        <v>121910.49424875774</v>
      </c>
      <c r="D62" s="11">
        <v>121910.49424875774</v>
      </c>
    </row>
    <row r="63" spans="2:4" x14ac:dyDescent="0.3">
      <c r="B63" s="11">
        <f t="shared" si="0"/>
        <v>61</v>
      </c>
      <c r="C63" s="11">
        <v>125060.23505199018</v>
      </c>
      <c r="D63" s="11">
        <v>125060.23505199018</v>
      </c>
    </row>
    <row r="64" spans="2:4" x14ac:dyDescent="0.3">
      <c r="B64" s="11">
        <f t="shared" si="0"/>
        <v>62</v>
      </c>
      <c r="C64" s="11">
        <v>69199.606905318593</v>
      </c>
      <c r="D64" s="11">
        <v>69199.606905318593</v>
      </c>
    </row>
    <row r="65" spans="2:4" x14ac:dyDescent="0.3">
      <c r="B65" s="11">
        <f t="shared" si="0"/>
        <v>63</v>
      </c>
      <c r="C65" s="11">
        <v>71395.307257144334</v>
      </c>
      <c r="D65" s="11">
        <v>71395.307257144334</v>
      </c>
    </row>
    <row r="66" spans="2:4" x14ac:dyDescent="0.3">
      <c r="B66" s="11">
        <f t="shared" si="0"/>
        <v>64</v>
      </c>
      <c r="C66" s="11">
        <v>114816.07111449013</v>
      </c>
      <c r="D66" s="11">
        <v>114816.07111449013</v>
      </c>
    </row>
    <row r="67" spans="2:4" x14ac:dyDescent="0.3">
      <c r="B67" s="11">
        <f t="shared" si="0"/>
        <v>65</v>
      </c>
      <c r="C67" s="11">
        <v>106928.93707460129</v>
      </c>
      <c r="D67" s="11">
        <v>106928.93707460129</v>
      </c>
    </row>
    <row r="68" spans="2:4" x14ac:dyDescent="0.3">
      <c r="B68" s="11">
        <f t="shared" si="0"/>
        <v>66</v>
      </c>
      <c r="C68" s="11">
        <v>96729.135883793162</v>
      </c>
      <c r="D68" s="11">
        <v>96729.135883793162</v>
      </c>
    </row>
    <row r="69" spans="2:4" x14ac:dyDescent="0.3">
      <c r="B69" s="11">
        <f t="shared" ref="B69:B132" si="3">B68+1</f>
        <v>67</v>
      </c>
      <c r="C69" s="11">
        <v>109254.04540587254</v>
      </c>
      <c r="D69" s="11">
        <v>109254.04540587254</v>
      </c>
    </row>
    <row r="70" spans="2:4" x14ac:dyDescent="0.3">
      <c r="B70" s="11">
        <f t="shared" si="3"/>
        <v>68</v>
      </c>
      <c r="C70" s="11">
        <v>164938.45795698467</v>
      </c>
      <c r="D70" s="11">
        <v>164938.45795698467</v>
      </c>
    </row>
    <row r="71" spans="2:4" x14ac:dyDescent="0.3">
      <c r="B71" s="11">
        <f t="shared" si="3"/>
        <v>69</v>
      </c>
      <c r="C71" s="11">
        <v>65237.415604045978</v>
      </c>
      <c r="D71" s="11">
        <v>65237.415604045978</v>
      </c>
    </row>
    <row r="72" spans="2:4" x14ac:dyDescent="0.3">
      <c r="B72" s="11">
        <f t="shared" si="3"/>
        <v>70</v>
      </c>
      <c r="C72" s="11">
        <v>90564.17307009919</v>
      </c>
      <c r="D72" s="11">
        <v>90091.745987979215</v>
      </c>
    </row>
    <row r="73" spans="2:4" x14ac:dyDescent="0.3">
      <c r="B73" s="11">
        <f t="shared" si="3"/>
        <v>71</v>
      </c>
      <c r="C73" s="11">
        <v>118780.81226426319</v>
      </c>
      <c r="D73" s="11">
        <v>118780.81226426319</v>
      </c>
    </row>
    <row r="74" spans="2:4" x14ac:dyDescent="0.3">
      <c r="B74" s="11">
        <f t="shared" si="3"/>
        <v>72</v>
      </c>
      <c r="C74" s="11">
        <v>113222.0917662681</v>
      </c>
      <c r="D74" s="11">
        <v>113222.0917662681</v>
      </c>
    </row>
    <row r="75" spans="2:4" x14ac:dyDescent="0.3">
      <c r="B75" s="11">
        <f t="shared" si="3"/>
        <v>73</v>
      </c>
      <c r="C75" s="11">
        <v>173539.99290090776</v>
      </c>
      <c r="D75" s="11">
        <v>173867.03235713023</v>
      </c>
    </row>
    <row r="76" spans="2:4" x14ac:dyDescent="0.3">
      <c r="B76" s="11">
        <f t="shared" si="3"/>
        <v>74</v>
      </c>
      <c r="C76" s="11">
        <v>79830.004039585619</v>
      </c>
      <c r="D76" s="11">
        <v>79830.004039585619</v>
      </c>
    </row>
    <row r="77" spans="2:4" x14ac:dyDescent="0.3">
      <c r="B77" s="11">
        <f t="shared" si="3"/>
        <v>75</v>
      </c>
      <c r="C77" s="11">
        <v>80470.353465357359</v>
      </c>
      <c r="D77" s="11">
        <v>80470.353465357359</v>
      </c>
    </row>
    <row r="78" spans="2:4" x14ac:dyDescent="0.3">
      <c r="B78" s="11">
        <f t="shared" si="3"/>
        <v>76</v>
      </c>
      <c r="C78" s="11">
        <v>131710.27559679918</v>
      </c>
      <c r="D78" s="11">
        <v>131710.27559679918</v>
      </c>
    </row>
    <row r="79" spans="2:4" x14ac:dyDescent="0.3">
      <c r="B79" s="11">
        <f t="shared" si="3"/>
        <v>77</v>
      </c>
      <c r="C79" s="11">
        <v>94372.097948859926</v>
      </c>
      <c r="D79" s="11">
        <v>94372.097948859926</v>
      </c>
    </row>
    <row r="80" spans="2:4" x14ac:dyDescent="0.3">
      <c r="B80" s="11">
        <f t="shared" si="3"/>
        <v>78</v>
      </c>
      <c r="C80" s="11">
        <v>79233.842777142418</v>
      </c>
      <c r="D80" s="11">
        <v>79233.842777142418</v>
      </c>
    </row>
    <row r="81" spans="2:4" x14ac:dyDescent="0.3">
      <c r="B81" s="11">
        <f t="shared" si="3"/>
        <v>79</v>
      </c>
      <c r="C81" s="11">
        <v>130598.79839246675</v>
      </c>
      <c r="D81" s="11">
        <v>130598.79839246675</v>
      </c>
    </row>
    <row r="82" spans="2:4" x14ac:dyDescent="0.3">
      <c r="B82" s="11">
        <f t="shared" si="3"/>
        <v>80</v>
      </c>
      <c r="C82" s="11">
        <v>61274.741372812525</v>
      </c>
      <c r="D82" s="11">
        <v>61274.741372812525</v>
      </c>
    </row>
    <row r="83" spans="2:4" x14ac:dyDescent="0.3">
      <c r="B83" s="11">
        <f t="shared" si="3"/>
        <v>81</v>
      </c>
      <c r="C83" s="11">
        <v>121234.88861278011</v>
      </c>
      <c r="D83" s="11">
        <v>121234.88861278011</v>
      </c>
    </row>
    <row r="84" spans="2:4" x14ac:dyDescent="0.3">
      <c r="B84" s="11">
        <f t="shared" si="3"/>
        <v>82</v>
      </c>
      <c r="C84" s="11">
        <v>139117.12068809458</v>
      </c>
      <c r="D84" s="11">
        <v>139117.12068809458</v>
      </c>
    </row>
    <row r="85" spans="2:4" x14ac:dyDescent="0.3">
      <c r="B85" s="11">
        <f t="shared" si="3"/>
        <v>83</v>
      </c>
      <c r="C85" s="11">
        <v>102536.19855193992</v>
      </c>
      <c r="D85" s="11">
        <v>102536.19855193992</v>
      </c>
    </row>
    <row r="86" spans="2:4" x14ac:dyDescent="0.3">
      <c r="B86" s="11">
        <f t="shared" si="3"/>
        <v>84</v>
      </c>
      <c r="C86" s="11">
        <v>126769.82515981721</v>
      </c>
      <c r="D86" s="11">
        <v>126769.82515981721</v>
      </c>
    </row>
    <row r="87" spans="2:4" x14ac:dyDescent="0.3">
      <c r="B87" s="11">
        <f t="shared" si="3"/>
        <v>85</v>
      </c>
      <c r="C87" s="11">
        <v>89932.45698378286</v>
      </c>
      <c r="D87" s="11">
        <v>89932.45698378286</v>
      </c>
    </row>
    <row r="88" spans="2:4" x14ac:dyDescent="0.3">
      <c r="B88" s="11">
        <f t="shared" si="3"/>
        <v>86</v>
      </c>
      <c r="C88" s="11">
        <v>113904.19788582876</v>
      </c>
      <c r="D88" s="11">
        <v>113904.19788582876</v>
      </c>
    </row>
    <row r="89" spans="2:4" x14ac:dyDescent="0.3">
      <c r="B89" s="11">
        <f t="shared" si="3"/>
        <v>87</v>
      </c>
      <c r="C89" s="11">
        <v>94346.607387039796</v>
      </c>
      <c r="D89" s="11">
        <v>94346.607387039796</v>
      </c>
    </row>
    <row r="90" spans="2:4" x14ac:dyDescent="0.3">
      <c r="B90" s="11">
        <f t="shared" si="3"/>
        <v>88</v>
      </c>
      <c r="C90" s="11">
        <v>141793.01350434913</v>
      </c>
      <c r="D90" s="11">
        <v>142630.877899499</v>
      </c>
    </row>
    <row r="91" spans="2:4" x14ac:dyDescent="0.3">
      <c r="B91" s="11">
        <f t="shared" si="3"/>
        <v>89</v>
      </c>
      <c r="C91" s="11">
        <v>180315.11694355629</v>
      </c>
      <c r="D91" s="11">
        <v>197974.98684804735</v>
      </c>
    </row>
    <row r="92" spans="2:4" x14ac:dyDescent="0.3">
      <c r="B92" s="11">
        <f t="shared" si="3"/>
        <v>90</v>
      </c>
      <c r="C92" s="11">
        <v>103656.94824475635</v>
      </c>
      <c r="D92" s="11">
        <v>103656.94824475635</v>
      </c>
    </row>
    <row r="93" spans="2:4" x14ac:dyDescent="0.3">
      <c r="B93" s="11">
        <f t="shared" si="3"/>
        <v>91</v>
      </c>
      <c r="C93" s="11">
        <v>253486.37493600938</v>
      </c>
      <c r="D93" s="11">
        <v>253486.37493600938</v>
      </c>
    </row>
    <row r="94" spans="2:4" x14ac:dyDescent="0.3">
      <c r="B94" s="11">
        <f t="shared" si="3"/>
        <v>92</v>
      </c>
      <c r="C94" s="11">
        <v>105015.40633159407</v>
      </c>
      <c r="D94" s="11">
        <v>105015.40633159407</v>
      </c>
    </row>
    <row r="95" spans="2:4" x14ac:dyDescent="0.3">
      <c r="B95" s="11">
        <f t="shared" si="3"/>
        <v>93</v>
      </c>
      <c r="C95" s="11">
        <v>90425.704469916702</v>
      </c>
      <c r="D95" s="11">
        <v>90425.704469916702</v>
      </c>
    </row>
    <row r="96" spans="2:4" x14ac:dyDescent="0.3">
      <c r="B96" s="11">
        <f t="shared" si="3"/>
        <v>94</v>
      </c>
      <c r="C96" s="11">
        <v>98585.105620006318</v>
      </c>
      <c r="D96" s="11">
        <v>98585.105620006318</v>
      </c>
    </row>
    <row r="97" spans="2:4" x14ac:dyDescent="0.3">
      <c r="B97" s="11">
        <f t="shared" si="3"/>
        <v>95</v>
      </c>
      <c r="C97" s="11">
        <v>146850.80100670827</v>
      </c>
      <c r="D97" s="11">
        <v>146850.80100670827</v>
      </c>
    </row>
    <row r="98" spans="2:4" x14ac:dyDescent="0.3">
      <c r="B98" s="11">
        <f t="shared" si="3"/>
        <v>96</v>
      </c>
      <c r="C98" s="11">
        <v>78795.247240099721</v>
      </c>
      <c r="D98" s="11">
        <v>78795.247240099721</v>
      </c>
    </row>
    <row r="99" spans="2:4" x14ac:dyDescent="0.3">
      <c r="B99" s="11">
        <f t="shared" si="3"/>
        <v>97</v>
      </c>
      <c r="C99" s="11">
        <v>49006.646537209788</v>
      </c>
      <c r="D99" s="11">
        <v>49006.646537209788</v>
      </c>
    </row>
    <row r="100" spans="2:4" x14ac:dyDescent="0.3">
      <c r="B100" s="11">
        <f t="shared" si="3"/>
        <v>98</v>
      </c>
      <c r="C100" s="11">
        <v>92847.617056204341</v>
      </c>
      <c r="D100" s="11">
        <v>92847.617056204341</v>
      </c>
    </row>
    <row r="101" spans="2:4" x14ac:dyDescent="0.3">
      <c r="B101" s="11">
        <f t="shared" si="3"/>
        <v>99</v>
      </c>
      <c r="C101" s="11">
        <v>75056.881548772697</v>
      </c>
      <c r="D101" s="11">
        <v>75056.881548772697</v>
      </c>
    </row>
    <row r="102" spans="2:4" x14ac:dyDescent="0.3">
      <c r="B102" s="11">
        <f t="shared" si="3"/>
        <v>100</v>
      </c>
      <c r="C102" s="11">
        <v>142421.17553492272</v>
      </c>
      <c r="D102" s="11">
        <v>142421.17553492272</v>
      </c>
    </row>
    <row r="103" spans="2:4" x14ac:dyDescent="0.3">
      <c r="B103" s="11">
        <f t="shared" si="3"/>
        <v>101</v>
      </c>
      <c r="C103" s="11">
        <v>66673.295879571524</v>
      </c>
      <c r="D103" s="11">
        <v>66673.295879571524</v>
      </c>
    </row>
    <row r="104" spans="2:4" x14ac:dyDescent="0.3">
      <c r="B104" s="11">
        <f t="shared" si="3"/>
        <v>102</v>
      </c>
      <c r="C104" s="11">
        <v>127110.853007678</v>
      </c>
      <c r="D104" s="11">
        <v>127110.853007678</v>
      </c>
    </row>
    <row r="105" spans="2:4" x14ac:dyDescent="0.3">
      <c r="B105" s="11">
        <f t="shared" si="3"/>
        <v>103</v>
      </c>
      <c r="C105" s="11">
        <v>65011.76941475799</v>
      </c>
      <c r="D105" s="11">
        <v>65011.76941475799</v>
      </c>
    </row>
    <row r="106" spans="2:4" x14ac:dyDescent="0.3">
      <c r="B106" s="11">
        <f t="shared" si="3"/>
        <v>104</v>
      </c>
      <c r="C106" s="11">
        <v>136902.11102423471</v>
      </c>
      <c r="D106" s="11">
        <v>136902.11102423471</v>
      </c>
    </row>
    <row r="107" spans="2:4" x14ac:dyDescent="0.3">
      <c r="B107" s="11">
        <f t="shared" si="3"/>
        <v>105</v>
      </c>
      <c r="C107" s="11">
        <v>117660.15405766688</v>
      </c>
      <c r="D107" s="11">
        <v>117660.15405766688</v>
      </c>
    </row>
    <row r="108" spans="2:4" x14ac:dyDescent="0.3">
      <c r="B108" s="11">
        <f t="shared" si="3"/>
        <v>106</v>
      </c>
      <c r="C108" s="11">
        <v>99493.36008876565</v>
      </c>
      <c r="D108" s="11">
        <v>99493.36008876565</v>
      </c>
    </row>
    <row r="109" spans="2:4" x14ac:dyDescent="0.3">
      <c r="B109" s="11">
        <f t="shared" si="3"/>
        <v>107</v>
      </c>
      <c r="C109" s="11">
        <v>39387.186520309173</v>
      </c>
      <c r="D109" s="11">
        <v>39387.186520309173</v>
      </c>
    </row>
    <row r="110" spans="2:4" x14ac:dyDescent="0.3">
      <c r="B110" s="11">
        <f t="shared" si="3"/>
        <v>108</v>
      </c>
      <c r="C110" s="11">
        <v>133128.18127980127</v>
      </c>
      <c r="D110" s="11">
        <v>133128.18127980127</v>
      </c>
    </row>
    <row r="111" spans="2:4" x14ac:dyDescent="0.3">
      <c r="B111" s="11">
        <f t="shared" si="3"/>
        <v>109</v>
      </c>
      <c r="C111" s="11">
        <v>91894.580456962678</v>
      </c>
      <c r="D111" s="11">
        <v>91894.580456962678</v>
      </c>
    </row>
    <row r="112" spans="2:4" x14ac:dyDescent="0.3">
      <c r="B112" s="11">
        <f t="shared" si="3"/>
        <v>110</v>
      </c>
      <c r="C112" s="11">
        <v>161569.90811810744</v>
      </c>
      <c r="D112" s="11">
        <v>161569.90811810744</v>
      </c>
    </row>
    <row r="113" spans="2:4" x14ac:dyDescent="0.3">
      <c r="B113" s="11">
        <f t="shared" si="3"/>
        <v>111</v>
      </c>
      <c r="C113" s="11">
        <v>109209.75873226202</v>
      </c>
      <c r="D113" s="11">
        <v>109209.75873226202</v>
      </c>
    </row>
    <row r="114" spans="2:4" x14ac:dyDescent="0.3">
      <c r="B114" s="11">
        <f t="shared" si="3"/>
        <v>112</v>
      </c>
      <c r="C114" s="11">
        <v>96646.006947886272</v>
      </c>
      <c r="D114" s="11">
        <v>96646.006947886272</v>
      </c>
    </row>
    <row r="115" spans="2:4" x14ac:dyDescent="0.3">
      <c r="B115" s="11">
        <f t="shared" si="3"/>
        <v>113</v>
      </c>
      <c r="C115" s="11">
        <v>83808.995414717429</v>
      </c>
      <c r="D115" s="11">
        <v>83808.995414717429</v>
      </c>
    </row>
    <row r="116" spans="2:4" x14ac:dyDescent="0.3">
      <c r="B116" s="11">
        <f t="shared" si="3"/>
        <v>114</v>
      </c>
      <c r="C116" s="11">
        <v>106320.37220706574</v>
      </c>
      <c r="D116" s="11">
        <v>106320.37220706574</v>
      </c>
    </row>
    <row r="117" spans="2:4" x14ac:dyDescent="0.3">
      <c r="B117" s="11">
        <f t="shared" si="3"/>
        <v>115</v>
      </c>
      <c r="C117" s="11">
        <v>83742.946385837073</v>
      </c>
      <c r="D117" s="11">
        <v>83156.84143336305</v>
      </c>
    </row>
    <row r="118" spans="2:4" x14ac:dyDescent="0.3">
      <c r="B118" s="11">
        <f t="shared" si="3"/>
        <v>116</v>
      </c>
      <c r="C118" s="11">
        <v>108701.75067446555</v>
      </c>
      <c r="D118" s="11">
        <v>108701.75067446555</v>
      </c>
    </row>
    <row r="119" spans="2:4" x14ac:dyDescent="0.3">
      <c r="B119" s="11">
        <f t="shared" si="3"/>
        <v>117</v>
      </c>
      <c r="C119" s="11">
        <v>81424.853687169089</v>
      </c>
      <c r="D119" s="11">
        <v>81424.853687169089</v>
      </c>
    </row>
    <row r="120" spans="2:4" x14ac:dyDescent="0.3">
      <c r="B120" s="11">
        <f t="shared" si="3"/>
        <v>118</v>
      </c>
      <c r="C120" s="11">
        <v>257052.55362728323</v>
      </c>
      <c r="D120" s="11">
        <v>257052.55362728323</v>
      </c>
    </row>
    <row r="121" spans="2:4" x14ac:dyDescent="0.3">
      <c r="B121" s="11">
        <f t="shared" si="3"/>
        <v>119</v>
      </c>
      <c r="C121" s="11">
        <v>88963.100674035129</v>
      </c>
      <c r="D121" s="11">
        <v>88963.100674035129</v>
      </c>
    </row>
    <row r="122" spans="2:4" x14ac:dyDescent="0.3">
      <c r="B122" s="11">
        <f t="shared" si="3"/>
        <v>120</v>
      </c>
      <c r="C122" s="11">
        <v>136888.79110226364</v>
      </c>
      <c r="D122" s="11">
        <v>136888.79110226364</v>
      </c>
    </row>
    <row r="123" spans="2:4" x14ac:dyDescent="0.3">
      <c r="B123" s="11">
        <f t="shared" si="3"/>
        <v>121</v>
      </c>
      <c r="C123" s="11">
        <v>54667.43709464548</v>
      </c>
      <c r="D123" s="11">
        <v>54667.43709464548</v>
      </c>
    </row>
    <row r="124" spans="2:4" x14ac:dyDescent="0.3">
      <c r="B124" s="11">
        <f t="shared" si="3"/>
        <v>122</v>
      </c>
      <c r="C124" s="11">
        <v>113883.11127083912</v>
      </c>
      <c r="D124" s="11">
        <v>113883.11127083912</v>
      </c>
    </row>
    <row r="125" spans="2:4" x14ac:dyDescent="0.3">
      <c r="B125" s="11">
        <f t="shared" si="3"/>
        <v>123</v>
      </c>
      <c r="C125" s="11">
        <v>105248.77703213399</v>
      </c>
      <c r="D125" s="11">
        <v>105248.77703213399</v>
      </c>
    </row>
    <row r="126" spans="2:4" x14ac:dyDescent="0.3">
      <c r="B126" s="11">
        <f t="shared" si="3"/>
        <v>124</v>
      </c>
      <c r="C126" s="11">
        <v>93259.97178922368</v>
      </c>
      <c r="D126" s="11">
        <v>93259.97178922368</v>
      </c>
    </row>
    <row r="127" spans="2:4" x14ac:dyDescent="0.3">
      <c r="B127" s="11">
        <f t="shared" si="3"/>
        <v>125</v>
      </c>
      <c r="C127" s="11">
        <v>149124.84767913114</v>
      </c>
      <c r="D127" s="11">
        <v>149124.84767913114</v>
      </c>
    </row>
    <row r="128" spans="2:4" x14ac:dyDescent="0.3">
      <c r="B128" s="11">
        <f t="shared" si="3"/>
        <v>126</v>
      </c>
      <c r="C128" s="11">
        <v>140643.32762895065</v>
      </c>
      <c r="D128" s="11">
        <v>141775.36960546908</v>
      </c>
    </row>
    <row r="129" spans="2:4" x14ac:dyDescent="0.3">
      <c r="B129" s="11">
        <f t="shared" si="3"/>
        <v>127</v>
      </c>
      <c r="C129" s="11">
        <v>69263.122058170236</v>
      </c>
      <c r="D129" s="11">
        <v>54941.521280224952</v>
      </c>
    </row>
    <row r="130" spans="2:4" x14ac:dyDescent="0.3">
      <c r="B130" s="11">
        <f t="shared" si="3"/>
        <v>128</v>
      </c>
      <c r="C130" s="11">
        <v>136649.32358335398</v>
      </c>
      <c r="D130" s="11">
        <v>136649.32358335398</v>
      </c>
    </row>
    <row r="131" spans="2:4" x14ac:dyDescent="0.3">
      <c r="B131" s="11">
        <f t="shared" si="3"/>
        <v>129</v>
      </c>
      <c r="C131" s="11">
        <v>100391.42100311664</v>
      </c>
      <c r="D131" s="11">
        <v>100391.42100311664</v>
      </c>
    </row>
    <row r="132" spans="2:4" x14ac:dyDescent="0.3">
      <c r="B132" s="11">
        <f t="shared" si="3"/>
        <v>130</v>
      </c>
      <c r="C132" s="11">
        <v>47222.084678427753</v>
      </c>
      <c r="D132" s="11">
        <v>47222.084678427753</v>
      </c>
    </row>
    <row r="133" spans="2:4" x14ac:dyDescent="0.3">
      <c r="B133" s="11">
        <f t="shared" ref="B133:B196" si="4">B132+1</f>
        <v>131</v>
      </c>
      <c r="C133" s="11">
        <v>160291.51315754699</v>
      </c>
      <c r="D133" s="11">
        <v>160291.51315754699</v>
      </c>
    </row>
    <row r="134" spans="2:4" x14ac:dyDescent="0.3">
      <c r="B134" s="11">
        <f t="shared" si="4"/>
        <v>132</v>
      </c>
      <c r="C134" s="11">
        <v>124277.47244371816</v>
      </c>
      <c r="D134" s="11">
        <v>124277.47244371816</v>
      </c>
    </row>
    <row r="135" spans="2:4" x14ac:dyDescent="0.3">
      <c r="B135" s="11">
        <f t="shared" si="4"/>
        <v>133</v>
      </c>
      <c r="C135" s="11">
        <v>64050.422638406279</v>
      </c>
      <c r="D135" s="11">
        <v>64050.422638406279</v>
      </c>
    </row>
    <row r="136" spans="2:4" x14ac:dyDescent="0.3">
      <c r="B136" s="11">
        <f t="shared" si="4"/>
        <v>134</v>
      </c>
      <c r="C136" s="11">
        <v>71949.219070468898</v>
      </c>
      <c r="D136" s="11">
        <v>70263.678823982715</v>
      </c>
    </row>
    <row r="137" spans="2:4" x14ac:dyDescent="0.3">
      <c r="B137" s="11">
        <f t="shared" si="4"/>
        <v>135</v>
      </c>
      <c r="C137" s="11">
        <v>62311.215102250942</v>
      </c>
      <c r="D137" s="11">
        <v>62311.215102250942</v>
      </c>
    </row>
    <row r="138" spans="2:4" x14ac:dyDescent="0.3">
      <c r="B138" s="11">
        <f t="shared" si="4"/>
        <v>136</v>
      </c>
      <c r="C138" s="11">
        <v>76174.5207777225</v>
      </c>
      <c r="D138" s="11">
        <v>76174.5207777225</v>
      </c>
    </row>
    <row r="139" spans="2:4" x14ac:dyDescent="0.3">
      <c r="B139" s="11">
        <f t="shared" si="4"/>
        <v>137</v>
      </c>
      <c r="C139" s="11">
        <v>87791.334883841453</v>
      </c>
      <c r="D139" s="11">
        <v>87791.334883841453</v>
      </c>
    </row>
    <row r="140" spans="2:4" x14ac:dyDescent="0.3">
      <c r="B140" s="11">
        <f t="shared" si="4"/>
        <v>138</v>
      </c>
      <c r="C140" s="11">
        <v>55223.056292512578</v>
      </c>
      <c r="D140" s="11">
        <v>55223.056292512578</v>
      </c>
    </row>
    <row r="141" spans="2:4" x14ac:dyDescent="0.3">
      <c r="B141" s="11">
        <f t="shared" si="4"/>
        <v>139</v>
      </c>
      <c r="C141" s="11">
        <v>111459.33760861981</v>
      </c>
      <c r="D141" s="11">
        <v>111459.33760861981</v>
      </c>
    </row>
    <row r="142" spans="2:4" x14ac:dyDescent="0.3">
      <c r="B142" s="11">
        <f t="shared" si="4"/>
        <v>140</v>
      </c>
      <c r="C142" s="11">
        <v>63078.943989941756</v>
      </c>
      <c r="D142" s="11">
        <v>63078.943989941756</v>
      </c>
    </row>
    <row r="143" spans="2:4" x14ac:dyDescent="0.3">
      <c r="B143" s="11">
        <f t="shared" si="4"/>
        <v>141</v>
      </c>
      <c r="C143" s="11">
        <v>208193.82977540971</v>
      </c>
      <c r="D143" s="11">
        <v>208193.82977540971</v>
      </c>
    </row>
    <row r="144" spans="2:4" x14ac:dyDescent="0.3">
      <c r="B144" s="11">
        <f t="shared" si="4"/>
        <v>142</v>
      </c>
      <c r="C144" s="11">
        <v>112025.08774731396</v>
      </c>
      <c r="D144" s="11">
        <v>112025.08774731396</v>
      </c>
    </row>
    <row r="145" spans="2:4" x14ac:dyDescent="0.3">
      <c r="B145" s="11">
        <f t="shared" si="4"/>
        <v>143</v>
      </c>
      <c r="C145" s="11">
        <v>320928.05748503574</v>
      </c>
      <c r="D145" s="11">
        <v>321270.91308805335</v>
      </c>
    </row>
    <row r="146" spans="2:4" x14ac:dyDescent="0.3">
      <c r="B146" s="11">
        <f t="shared" si="4"/>
        <v>144</v>
      </c>
      <c r="C146" s="11">
        <v>106434.22283941503</v>
      </c>
      <c r="D146" s="11">
        <v>106434.22283941503</v>
      </c>
    </row>
    <row r="147" spans="2:4" x14ac:dyDescent="0.3">
      <c r="B147" s="11">
        <f t="shared" si="4"/>
        <v>145</v>
      </c>
      <c r="C147" s="11">
        <v>120244.65984933326</v>
      </c>
      <c r="D147" s="11">
        <v>120244.65984933326</v>
      </c>
    </row>
    <row r="148" spans="2:4" x14ac:dyDescent="0.3">
      <c r="B148" s="11">
        <f t="shared" si="4"/>
        <v>146</v>
      </c>
      <c r="C148" s="11">
        <v>82087.680212331135</v>
      </c>
      <c r="D148" s="11">
        <v>82087.680212331135</v>
      </c>
    </row>
    <row r="149" spans="2:4" x14ac:dyDescent="0.3">
      <c r="B149" s="11">
        <f t="shared" si="4"/>
        <v>147</v>
      </c>
      <c r="C149" s="11">
        <v>127211.84103641179</v>
      </c>
      <c r="D149" s="11">
        <v>127211.84103641179</v>
      </c>
    </row>
    <row r="150" spans="2:4" x14ac:dyDescent="0.3">
      <c r="B150" s="11">
        <f t="shared" si="4"/>
        <v>148</v>
      </c>
      <c r="C150" s="11">
        <v>87663.813765623767</v>
      </c>
      <c r="D150" s="11">
        <v>87663.813765623767</v>
      </c>
    </row>
    <row r="151" spans="2:4" x14ac:dyDescent="0.3">
      <c r="B151" s="11">
        <f t="shared" si="4"/>
        <v>149</v>
      </c>
      <c r="C151" s="11">
        <v>58586.00112249684</v>
      </c>
      <c r="D151" s="11">
        <v>58586.00112249684</v>
      </c>
    </row>
    <row r="152" spans="2:4" x14ac:dyDescent="0.3">
      <c r="B152" s="11">
        <f t="shared" si="4"/>
        <v>150</v>
      </c>
      <c r="C152" s="11">
        <v>142853.83740897168</v>
      </c>
      <c r="D152" s="11">
        <v>142853.83740897168</v>
      </c>
    </row>
    <row r="153" spans="2:4" x14ac:dyDescent="0.3">
      <c r="B153" s="11">
        <f t="shared" si="4"/>
        <v>151</v>
      </c>
      <c r="C153" s="11">
        <v>109290.54757738659</v>
      </c>
      <c r="D153" s="11">
        <v>108556.89733515271</v>
      </c>
    </row>
    <row r="154" spans="2:4" x14ac:dyDescent="0.3">
      <c r="B154" s="11">
        <f t="shared" si="4"/>
        <v>152</v>
      </c>
      <c r="C154" s="11">
        <v>149878.55490014452</v>
      </c>
      <c r="D154" s="11">
        <v>149878.55490014452</v>
      </c>
    </row>
    <row r="155" spans="2:4" x14ac:dyDescent="0.3">
      <c r="B155" s="11">
        <f t="shared" si="4"/>
        <v>153</v>
      </c>
      <c r="C155" s="11">
        <v>128344.12517160083</v>
      </c>
      <c r="D155" s="11">
        <v>128344.12517160083</v>
      </c>
    </row>
    <row r="156" spans="2:4" x14ac:dyDescent="0.3">
      <c r="B156" s="11">
        <f t="shared" si="4"/>
        <v>154</v>
      </c>
      <c r="C156" s="11">
        <v>46190.919736249081</v>
      </c>
      <c r="D156" s="11">
        <v>46190.919736249081</v>
      </c>
    </row>
    <row r="157" spans="2:4" x14ac:dyDescent="0.3">
      <c r="B157" s="11">
        <f t="shared" si="4"/>
        <v>155</v>
      </c>
      <c r="C157" s="11">
        <v>102287.91731884917</v>
      </c>
      <c r="D157" s="11">
        <v>102287.91731884917</v>
      </c>
    </row>
    <row r="158" spans="2:4" x14ac:dyDescent="0.3">
      <c r="B158" s="11">
        <f t="shared" si="4"/>
        <v>156</v>
      </c>
      <c r="C158" s="11">
        <v>86404.116111346317</v>
      </c>
      <c r="D158" s="11">
        <v>86404.116111346317</v>
      </c>
    </row>
    <row r="159" spans="2:4" x14ac:dyDescent="0.3">
      <c r="B159" s="11">
        <f t="shared" si="4"/>
        <v>157</v>
      </c>
      <c r="C159" s="11">
        <v>170206.54323987363</v>
      </c>
      <c r="D159" s="11">
        <v>169565.90055473242</v>
      </c>
    </row>
    <row r="160" spans="2:4" x14ac:dyDescent="0.3">
      <c r="B160" s="11">
        <f t="shared" si="4"/>
        <v>158</v>
      </c>
      <c r="C160" s="11">
        <v>112724.01179194628</v>
      </c>
      <c r="D160" s="11">
        <v>112724.01179194628</v>
      </c>
    </row>
    <row r="161" spans="2:4" x14ac:dyDescent="0.3">
      <c r="B161" s="11">
        <f t="shared" si="4"/>
        <v>159</v>
      </c>
      <c r="C161" s="11">
        <v>136385.82984490172</v>
      </c>
      <c r="D161" s="11">
        <v>136385.82984490172</v>
      </c>
    </row>
    <row r="162" spans="2:4" x14ac:dyDescent="0.3">
      <c r="B162" s="11">
        <f t="shared" si="4"/>
        <v>160</v>
      </c>
      <c r="C162" s="11">
        <v>120800.91562160122</v>
      </c>
      <c r="D162" s="11">
        <v>120800.91562160122</v>
      </c>
    </row>
    <row r="163" spans="2:4" x14ac:dyDescent="0.3">
      <c r="B163" s="11">
        <f t="shared" si="4"/>
        <v>161</v>
      </c>
      <c r="C163" s="11">
        <v>179187.92418775969</v>
      </c>
      <c r="D163" s="11">
        <v>180057.03617267517</v>
      </c>
    </row>
    <row r="164" spans="2:4" x14ac:dyDescent="0.3">
      <c r="B164" s="11">
        <f t="shared" si="4"/>
        <v>162</v>
      </c>
      <c r="C164" s="11">
        <v>95426.439009254333</v>
      </c>
      <c r="D164" s="11">
        <v>95426.439009254333</v>
      </c>
    </row>
    <row r="165" spans="2:4" x14ac:dyDescent="0.3">
      <c r="B165" s="11">
        <f t="shared" si="4"/>
        <v>163</v>
      </c>
      <c r="C165" s="11">
        <v>101871.03640544959</v>
      </c>
      <c r="D165" s="11">
        <v>102663.61785531879</v>
      </c>
    </row>
    <row r="166" spans="2:4" x14ac:dyDescent="0.3">
      <c r="B166" s="11">
        <f t="shared" si="4"/>
        <v>164</v>
      </c>
      <c r="C166" s="11">
        <v>67054.715953208579</v>
      </c>
      <c r="D166" s="11">
        <v>67054.715953208579</v>
      </c>
    </row>
    <row r="167" spans="2:4" x14ac:dyDescent="0.3">
      <c r="B167" s="11">
        <f t="shared" si="4"/>
        <v>165</v>
      </c>
      <c r="C167" s="11">
        <v>42098.369319575235</v>
      </c>
      <c r="D167" s="11">
        <v>42098.369319575235</v>
      </c>
    </row>
    <row r="168" spans="2:4" x14ac:dyDescent="0.3">
      <c r="B168" s="11">
        <f t="shared" si="4"/>
        <v>166</v>
      </c>
      <c r="C168" s="11">
        <v>55552.716567680327</v>
      </c>
      <c r="D168" s="11">
        <v>55552.716567680327</v>
      </c>
    </row>
    <row r="169" spans="2:4" x14ac:dyDescent="0.3">
      <c r="B169" s="11">
        <f t="shared" si="4"/>
        <v>167</v>
      </c>
      <c r="C169" s="11">
        <v>77512.939438091649</v>
      </c>
      <c r="D169" s="11">
        <v>77512.939438091649</v>
      </c>
    </row>
    <row r="170" spans="2:4" x14ac:dyDescent="0.3">
      <c r="B170" s="11">
        <f t="shared" si="4"/>
        <v>168</v>
      </c>
      <c r="C170" s="11">
        <v>102765.7677831098</v>
      </c>
      <c r="D170" s="11">
        <v>98654.641383334179</v>
      </c>
    </row>
    <row r="171" spans="2:4" x14ac:dyDescent="0.3">
      <c r="B171" s="11">
        <f t="shared" si="4"/>
        <v>169</v>
      </c>
      <c r="C171" s="11">
        <v>125381.65646637346</v>
      </c>
      <c r="D171" s="11">
        <v>125381.65646637346</v>
      </c>
    </row>
    <row r="172" spans="2:4" x14ac:dyDescent="0.3">
      <c r="B172" s="11">
        <f t="shared" si="4"/>
        <v>170</v>
      </c>
      <c r="C172" s="11">
        <v>178757.46330731179</v>
      </c>
      <c r="D172" s="11">
        <v>178757.46330731179</v>
      </c>
    </row>
    <row r="173" spans="2:4" x14ac:dyDescent="0.3">
      <c r="B173" s="11">
        <f t="shared" si="4"/>
        <v>171</v>
      </c>
      <c r="C173" s="11">
        <v>253690.33425814004</v>
      </c>
      <c r="D173" s="11">
        <v>255567.34007398805</v>
      </c>
    </row>
    <row r="174" spans="2:4" x14ac:dyDescent="0.3">
      <c r="B174" s="11">
        <f t="shared" si="4"/>
        <v>172</v>
      </c>
      <c r="C174" s="11">
        <v>97868.457423352593</v>
      </c>
      <c r="D174" s="11">
        <v>97868.457423352593</v>
      </c>
    </row>
    <row r="175" spans="2:4" x14ac:dyDescent="0.3">
      <c r="B175" s="11">
        <f t="shared" si="4"/>
        <v>173</v>
      </c>
      <c r="C175" s="11">
        <v>74210.657345081971</v>
      </c>
      <c r="D175" s="11">
        <v>74210.657345081971</v>
      </c>
    </row>
    <row r="176" spans="2:4" x14ac:dyDescent="0.3">
      <c r="B176" s="11">
        <f t="shared" si="4"/>
        <v>174</v>
      </c>
      <c r="C176" s="11">
        <v>135846.71057221916</v>
      </c>
      <c r="D176" s="11">
        <v>135846.71057221916</v>
      </c>
    </row>
    <row r="177" spans="2:4" x14ac:dyDescent="0.3">
      <c r="B177" s="11">
        <f t="shared" si="4"/>
        <v>175</v>
      </c>
      <c r="C177" s="11">
        <v>84383.55986379653</v>
      </c>
      <c r="D177" s="11">
        <v>82777.870047233242</v>
      </c>
    </row>
    <row r="178" spans="2:4" x14ac:dyDescent="0.3">
      <c r="B178" s="11">
        <f t="shared" si="4"/>
        <v>176</v>
      </c>
      <c r="C178" s="11">
        <v>84662.990196454266</v>
      </c>
      <c r="D178" s="11">
        <v>84662.990196454266</v>
      </c>
    </row>
    <row r="179" spans="2:4" x14ac:dyDescent="0.3">
      <c r="B179" s="11">
        <f t="shared" si="4"/>
        <v>177</v>
      </c>
      <c r="C179" s="11">
        <v>100217.02655871575</v>
      </c>
      <c r="D179" s="11">
        <v>100217.02655871575</v>
      </c>
    </row>
    <row r="180" spans="2:4" x14ac:dyDescent="0.3">
      <c r="B180" s="11">
        <f t="shared" si="4"/>
        <v>178</v>
      </c>
      <c r="C180" s="11">
        <v>136448.99611128063</v>
      </c>
      <c r="D180" s="11">
        <v>136448.99611128063</v>
      </c>
    </row>
    <row r="181" spans="2:4" x14ac:dyDescent="0.3">
      <c r="B181" s="11">
        <f t="shared" si="4"/>
        <v>179</v>
      </c>
      <c r="C181" s="11">
        <v>228268.90876438507</v>
      </c>
      <c r="D181" s="11">
        <v>228268.90876438507</v>
      </c>
    </row>
    <row r="182" spans="2:4" x14ac:dyDescent="0.3">
      <c r="B182" s="11">
        <f t="shared" si="4"/>
        <v>180</v>
      </c>
      <c r="C182" s="11">
        <v>236997.75541899711</v>
      </c>
      <c r="D182" s="11">
        <v>236997.75541899711</v>
      </c>
    </row>
    <row r="183" spans="2:4" x14ac:dyDescent="0.3">
      <c r="B183" s="11">
        <f t="shared" si="4"/>
        <v>181</v>
      </c>
      <c r="C183" s="11">
        <v>67133.985185973273</v>
      </c>
      <c r="D183" s="11">
        <v>67133.985185973273</v>
      </c>
    </row>
    <row r="184" spans="2:4" x14ac:dyDescent="0.3">
      <c r="B184" s="11">
        <f t="shared" si="4"/>
        <v>182</v>
      </c>
      <c r="C184" s="11">
        <v>137905.31059804987</v>
      </c>
      <c r="D184" s="11">
        <v>138030.76958776111</v>
      </c>
    </row>
    <row r="185" spans="2:4" x14ac:dyDescent="0.3">
      <c r="B185" s="11">
        <f t="shared" si="4"/>
        <v>183</v>
      </c>
      <c r="C185" s="11">
        <v>152921.74102347341</v>
      </c>
      <c r="D185" s="11">
        <v>152921.74102347341</v>
      </c>
    </row>
    <row r="186" spans="2:4" x14ac:dyDescent="0.3">
      <c r="B186" s="11">
        <f t="shared" si="4"/>
        <v>184</v>
      </c>
      <c r="C186" s="11">
        <v>112429.4281188263</v>
      </c>
      <c r="D186" s="11">
        <v>112429.4281188263</v>
      </c>
    </row>
    <row r="187" spans="2:4" x14ac:dyDescent="0.3">
      <c r="B187" s="11">
        <f t="shared" si="4"/>
        <v>185</v>
      </c>
      <c r="C187" s="11">
        <v>84098.47053631852</v>
      </c>
      <c r="D187" s="11">
        <v>84098.47053631852</v>
      </c>
    </row>
    <row r="188" spans="2:4" x14ac:dyDescent="0.3">
      <c r="B188" s="11">
        <f t="shared" si="4"/>
        <v>186</v>
      </c>
      <c r="C188" s="11">
        <v>184365.0521877874</v>
      </c>
      <c r="D188" s="11">
        <v>184365.0521877874</v>
      </c>
    </row>
    <row r="189" spans="2:4" x14ac:dyDescent="0.3">
      <c r="B189" s="11">
        <f t="shared" si="4"/>
        <v>187</v>
      </c>
      <c r="C189" s="11">
        <v>128195.49646572171</v>
      </c>
      <c r="D189" s="11">
        <v>128195.49646572171</v>
      </c>
    </row>
    <row r="190" spans="2:4" x14ac:dyDescent="0.3">
      <c r="B190" s="11">
        <f t="shared" si="4"/>
        <v>188</v>
      </c>
      <c r="C190" s="11">
        <v>104758.34373365212</v>
      </c>
      <c r="D190" s="11">
        <v>104758.34373365212</v>
      </c>
    </row>
    <row r="191" spans="2:4" x14ac:dyDescent="0.3">
      <c r="B191" s="11">
        <f t="shared" si="4"/>
        <v>189</v>
      </c>
      <c r="C191" s="11">
        <v>120906.78531083533</v>
      </c>
      <c r="D191" s="11">
        <v>120906.78531083533</v>
      </c>
    </row>
    <row r="192" spans="2:4" x14ac:dyDescent="0.3">
      <c r="B192" s="11">
        <f t="shared" si="4"/>
        <v>190</v>
      </c>
      <c r="C192" s="11">
        <v>74909.55727563407</v>
      </c>
      <c r="D192" s="11">
        <v>74909.55727563407</v>
      </c>
    </row>
    <row r="193" spans="2:4" x14ac:dyDescent="0.3">
      <c r="B193" s="11">
        <f t="shared" si="4"/>
        <v>191</v>
      </c>
      <c r="C193" s="11">
        <v>71269.923276289788</v>
      </c>
      <c r="D193" s="11">
        <v>71269.923276289788</v>
      </c>
    </row>
    <row r="194" spans="2:4" x14ac:dyDescent="0.3">
      <c r="B194" s="11">
        <f t="shared" si="4"/>
        <v>192</v>
      </c>
      <c r="C194" s="11">
        <v>91862.461069798024</v>
      </c>
      <c r="D194" s="11">
        <v>91862.461069798024</v>
      </c>
    </row>
    <row r="195" spans="2:4" x14ac:dyDescent="0.3">
      <c r="B195" s="11">
        <f t="shared" si="4"/>
        <v>193</v>
      </c>
      <c r="C195" s="11">
        <v>122452.28374309879</v>
      </c>
      <c r="D195" s="11">
        <v>122452.28374309879</v>
      </c>
    </row>
    <row r="196" spans="2:4" x14ac:dyDescent="0.3">
      <c r="B196" s="11">
        <f t="shared" si="4"/>
        <v>194</v>
      </c>
      <c r="C196" s="11">
        <v>89289.380750330456</v>
      </c>
      <c r="D196" s="11">
        <v>89289.380750330456</v>
      </c>
    </row>
    <row r="197" spans="2:4" x14ac:dyDescent="0.3">
      <c r="B197" s="11">
        <f t="shared" ref="B197:B260" si="5">B196+1</f>
        <v>195</v>
      </c>
      <c r="C197" s="11">
        <v>138457.90188757927</v>
      </c>
      <c r="D197" s="11">
        <v>138457.90188757927</v>
      </c>
    </row>
    <row r="198" spans="2:4" x14ac:dyDescent="0.3">
      <c r="B198" s="11">
        <f t="shared" si="5"/>
        <v>196</v>
      </c>
      <c r="C198" s="11">
        <v>104706.78577352926</v>
      </c>
      <c r="D198" s="11">
        <v>103089.30974694129</v>
      </c>
    </row>
    <row r="199" spans="2:4" x14ac:dyDescent="0.3">
      <c r="B199" s="11">
        <f t="shared" si="5"/>
        <v>197</v>
      </c>
      <c r="C199" s="11">
        <v>44541.637127169932</v>
      </c>
      <c r="D199" s="11">
        <v>43037.915382441512</v>
      </c>
    </row>
    <row r="200" spans="2:4" x14ac:dyDescent="0.3">
      <c r="B200" s="11">
        <f t="shared" si="5"/>
        <v>198</v>
      </c>
      <c r="C200" s="11">
        <v>175288.23599969561</v>
      </c>
      <c r="D200" s="11">
        <v>175288.23599969561</v>
      </c>
    </row>
    <row r="201" spans="2:4" x14ac:dyDescent="0.3">
      <c r="B201" s="11">
        <f t="shared" si="5"/>
        <v>199</v>
      </c>
      <c r="C201" s="11">
        <v>64585.254994538191</v>
      </c>
      <c r="D201" s="11">
        <v>64585.254994538191</v>
      </c>
    </row>
    <row r="202" spans="2:4" x14ac:dyDescent="0.3">
      <c r="B202" s="11">
        <f t="shared" si="5"/>
        <v>200</v>
      </c>
      <c r="C202" s="11">
        <v>65651.658718679886</v>
      </c>
      <c r="D202" s="11">
        <v>64953.946068590332</v>
      </c>
    </row>
    <row r="203" spans="2:4" x14ac:dyDescent="0.3">
      <c r="B203" s="11">
        <f t="shared" si="5"/>
        <v>201</v>
      </c>
      <c r="C203" s="11">
        <v>114673.19000102798</v>
      </c>
      <c r="D203" s="11">
        <v>114673.19000102798</v>
      </c>
    </row>
    <row r="204" spans="2:4" x14ac:dyDescent="0.3">
      <c r="B204" s="11">
        <f t="shared" si="5"/>
        <v>202</v>
      </c>
      <c r="C204" s="11">
        <v>110273.86941053189</v>
      </c>
      <c r="D204" s="11">
        <v>110273.86941053189</v>
      </c>
    </row>
    <row r="205" spans="2:4" x14ac:dyDescent="0.3">
      <c r="B205" s="11">
        <f t="shared" si="5"/>
        <v>203</v>
      </c>
      <c r="C205" s="11">
        <v>97802.888619447345</v>
      </c>
      <c r="D205" s="11">
        <v>97802.888619447345</v>
      </c>
    </row>
    <row r="206" spans="2:4" x14ac:dyDescent="0.3">
      <c r="B206" s="11">
        <f t="shared" si="5"/>
        <v>204</v>
      </c>
      <c r="C206" s="11">
        <v>66580.95171791708</v>
      </c>
      <c r="D206" s="11">
        <v>66580.95171791708</v>
      </c>
    </row>
    <row r="207" spans="2:4" x14ac:dyDescent="0.3">
      <c r="B207" s="11">
        <f t="shared" si="5"/>
        <v>205</v>
      </c>
      <c r="C207" s="11">
        <v>180912.88295824378</v>
      </c>
      <c r="D207" s="11">
        <v>180912.88295824378</v>
      </c>
    </row>
    <row r="208" spans="2:4" x14ac:dyDescent="0.3">
      <c r="B208" s="11">
        <f t="shared" si="5"/>
        <v>206</v>
      </c>
      <c r="C208" s="11">
        <v>142486.04085896845</v>
      </c>
      <c r="D208" s="11">
        <v>142486.04085896845</v>
      </c>
    </row>
    <row r="209" spans="2:4" x14ac:dyDescent="0.3">
      <c r="B209" s="11">
        <f t="shared" si="5"/>
        <v>207</v>
      </c>
      <c r="C209" s="11">
        <v>116759.85141786888</v>
      </c>
      <c r="D209" s="11">
        <v>116759.85141786888</v>
      </c>
    </row>
    <row r="210" spans="2:4" x14ac:dyDescent="0.3">
      <c r="B210" s="11">
        <f t="shared" si="5"/>
        <v>208</v>
      </c>
      <c r="C210" s="11">
        <v>74152.743871282408</v>
      </c>
      <c r="D210" s="11">
        <v>74152.743871282408</v>
      </c>
    </row>
    <row r="211" spans="2:4" x14ac:dyDescent="0.3">
      <c r="B211" s="11">
        <f t="shared" si="5"/>
        <v>209</v>
      </c>
      <c r="C211" s="11">
        <v>135079.23378340594</v>
      </c>
      <c r="D211" s="11">
        <v>135079.23378340594</v>
      </c>
    </row>
    <row r="212" spans="2:4" x14ac:dyDescent="0.3">
      <c r="B212" s="11">
        <f t="shared" si="5"/>
        <v>210</v>
      </c>
      <c r="C212" s="11">
        <v>109113.63393869197</v>
      </c>
      <c r="D212" s="11">
        <v>109501.00997879103</v>
      </c>
    </row>
    <row r="213" spans="2:4" x14ac:dyDescent="0.3">
      <c r="B213" s="11">
        <f t="shared" si="5"/>
        <v>211</v>
      </c>
      <c r="C213" s="11">
        <v>61613.914972428523</v>
      </c>
      <c r="D213" s="11">
        <v>61613.914972428523</v>
      </c>
    </row>
    <row r="214" spans="2:4" x14ac:dyDescent="0.3">
      <c r="B214" s="11">
        <f t="shared" si="5"/>
        <v>212</v>
      </c>
      <c r="C214" s="11">
        <v>80703.399909905027</v>
      </c>
      <c r="D214" s="11">
        <v>80703.399909905027</v>
      </c>
    </row>
    <row r="215" spans="2:4" x14ac:dyDescent="0.3">
      <c r="B215" s="11">
        <f t="shared" si="5"/>
        <v>213</v>
      </c>
      <c r="C215" s="11">
        <v>119413.40944128926</v>
      </c>
      <c r="D215" s="11">
        <v>119413.40944128926</v>
      </c>
    </row>
    <row r="216" spans="2:4" x14ac:dyDescent="0.3">
      <c r="B216" s="11">
        <f t="shared" si="5"/>
        <v>214</v>
      </c>
      <c r="C216" s="11">
        <v>107498.1995704617</v>
      </c>
      <c r="D216" s="11">
        <v>95326.032738407026</v>
      </c>
    </row>
    <row r="217" spans="2:4" x14ac:dyDescent="0.3">
      <c r="B217" s="11">
        <f t="shared" si="5"/>
        <v>215</v>
      </c>
      <c r="C217" s="11">
        <v>72252.860974863375</v>
      </c>
      <c r="D217" s="11">
        <v>72252.860974863375</v>
      </c>
    </row>
    <row r="218" spans="2:4" x14ac:dyDescent="0.3">
      <c r="B218" s="11">
        <f t="shared" si="5"/>
        <v>216</v>
      </c>
      <c r="C218" s="11">
        <v>91449.808735090817</v>
      </c>
      <c r="D218" s="11">
        <v>91449.808735090817</v>
      </c>
    </row>
    <row r="219" spans="2:4" x14ac:dyDescent="0.3">
      <c r="B219" s="11">
        <f t="shared" si="5"/>
        <v>217</v>
      </c>
      <c r="C219" s="11">
        <v>79662.468284187984</v>
      </c>
      <c r="D219" s="11">
        <v>79662.468284187984</v>
      </c>
    </row>
    <row r="220" spans="2:4" x14ac:dyDescent="0.3">
      <c r="B220" s="11">
        <f t="shared" si="5"/>
        <v>218</v>
      </c>
      <c r="C220" s="11">
        <v>95854.185261045583</v>
      </c>
      <c r="D220" s="11">
        <v>95854.185261045583</v>
      </c>
    </row>
    <row r="221" spans="2:4" x14ac:dyDescent="0.3">
      <c r="B221" s="11">
        <f t="shared" si="5"/>
        <v>219</v>
      </c>
      <c r="C221" s="11">
        <v>130003.82479364441</v>
      </c>
      <c r="D221" s="11">
        <v>130003.82479364441</v>
      </c>
    </row>
    <row r="222" spans="2:4" x14ac:dyDescent="0.3">
      <c r="B222" s="11">
        <f t="shared" si="5"/>
        <v>220</v>
      </c>
      <c r="C222" s="11">
        <v>103582.08739311823</v>
      </c>
      <c r="D222" s="11">
        <v>103582.08739311823</v>
      </c>
    </row>
    <row r="223" spans="2:4" x14ac:dyDescent="0.3">
      <c r="B223" s="11">
        <f t="shared" si="5"/>
        <v>221</v>
      </c>
      <c r="C223" s="11">
        <v>249183.20759985465</v>
      </c>
      <c r="D223" s="11">
        <v>249183.20759985465</v>
      </c>
    </row>
    <row r="224" spans="2:4" x14ac:dyDescent="0.3">
      <c r="B224" s="11">
        <f t="shared" si="5"/>
        <v>222</v>
      </c>
      <c r="C224" s="11">
        <v>105247.48755173526</v>
      </c>
      <c r="D224" s="11">
        <v>105247.48755173526</v>
      </c>
    </row>
    <row r="225" spans="2:4" x14ac:dyDescent="0.3">
      <c r="B225" s="11">
        <f t="shared" si="5"/>
        <v>223</v>
      </c>
      <c r="C225" s="11">
        <v>81650.632929254833</v>
      </c>
      <c r="D225" s="11">
        <v>81650.632929254833</v>
      </c>
    </row>
    <row r="226" spans="2:4" x14ac:dyDescent="0.3">
      <c r="B226" s="11">
        <f t="shared" si="5"/>
        <v>224</v>
      </c>
      <c r="C226" s="11">
        <v>87536.128764767782</v>
      </c>
      <c r="D226" s="11">
        <v>87536.128764767782</v>
      </c>
    </row>
    <row r="227" spans="2:4" x14ac:dyDescent="0.3">
      <c r="B227" s="11">
        <f t="shared" si="5"/>
        <v>225</v>
      </c>
      <c r="C227" s="11">
        <v>89146.300965055445</v>
      </c>
      <c r="D227" s="11">
        <v>89146.300965055445</v>
      </c>
    </row>
    <row r="228" spans="2:4" x14ac:dyDescent="0.3">
      <c r="B228" s="11">
        <f t="shared" si="5"/>
        <v>226</v>
      </c>
      <c r="C228" s="11">
        <v>74747.638480411377</v>
      </c>
      <c r="D228" s="11">
        <v>74747.638480411377</v>
      </c>
    </row>
    <row r="229" spans="2:4" x14ac:dyDescent="0.3">
      <c r="B229" s="11">
        <f t="shared" si="5"/>
        <v>227</v>
      </c>
      <c r="C229" s="11">
        <v>172666.82656186775</v>
      </c>
      <c r="D229" s="11">
        <v>172666.82656186775</v>
      </c>
    </row>
    <row r="230" spans="2:4" x14ac:dyDescent="0.3">
      <c r="B230" s="11">
        <f t="shared" si="5"/>
        <v>228</v>
      </c>
      <c r="C230" s="11">
        <v>180449.39745522061</v>
      </c>
      <c r="D230" s="11">
        <v>180449.39745522061</v>
      </c>
    </row>
    <row r="231" spans="2:4" x14ac:dyDescent="0.3">
      <c r="B231" s="11">
        <f t="shared" si="5"/>
        <v>229</v>
      </c>
      <c r="C231" s="11">
        <v>200366.81444752542</v>
      </c>
      <c r="D231" s="11">
        <v>200366.81444752542</v>
      </c>
    </row>
    <row r="232" spans="2:4" x14ac:dyDescent="0.3">
      <c r="B232" s="11">
        <f t="shared" si="5"/>
        <v>230</v>
      </c>
      <c r="C232" s="11">
        <v>141726.95466137491</v>
      </c>
      <c r="D232" s="11">
        <v>141726.95466137491</v>
      </c>
    </row>
    <row r="233" spans="2:4" x14ac:dyDescent="0.3">
      <c r="B233" s="11">
        <f t="shared" si="5"/>
        <v>231</v>
      </c>
      <c r="C233" s="11">
        <v>143807.56106779131</v>
      </c>
      <c r="D233" s="11">
        <v>144196.78376552279</v>
      </c>
    </row>
    <row r="234" spans="2:4" x14ac:dyDescent="0.3">
      <c r="B234" s="11">
        <f t="shared" si="5"/>
        <v>232</v>
      </c>
      <c r="C234" s="11">
        <v>157970.45130054667</v>
      </c>
      <c r="D234" s="11">
        <v>157970.45130054667</v>
      </c>
    </row>
    <row r="235" spans="2:4" x14ac:dyDescent="0.3">
      <c r="B235" s="11">
        <f t="shared" si="5"/>
        <v>233</v>
      </c>
      <c r="C235" s="11">
        <v>127599.36594320719</v>
      </c>
      <c r="D235" s="11">
        <v>127599.36594320719</v>
      </c>
    </row>
    <row r="236" spans="2:4" x14ac:dyDescent="0.3">
      <c r="B236" s="11">
        <f t="shared" si="5"/>
        <v>234</v>
      </c>
      <c r="C236" s="11">
        <v>150991.00939495416</v>
      </c>
      <c r="D236" s="11">
        <v>150991.00939495416</v>
      </c>
    </row>
    <row r="237" spans="2:4" x14ac:dyDescent="0.3">
      <c r="B237" s="11">
        <f t="shared" si="5"/>
        <v>235</v>
      </c>
      <c r="C237" s="11">
        <v>115687.86732353878</v>
      </c>
      <c r="D237" s="11">
        <v>115687.86732353878</v>
      </c>
    </row>
    <row r="238" spans="2:4" x14ac:dyDescent="0.3">
      <c r="B238" s="11">
        <f t="shared" si="5"/>
        <v>236</v>
      </c>
      <c r="C238" s="11">
        <v>116900.83714310164</v>
      </c>
      <c r="D238" s="11">
        <v>116900.83714310164</v>
      </c>
    </row>
    <row r="239" spans="2:4" x14ac:dyDescent="0.3">
      <c r="B239" s="11">
        <f t="shared" si="5"/>
        <v>237</v>
      </c>
      <c r="C239" s="11">
        <v>68539.459616073349</v>
      </c>
      <c r="D239" s="11">
        <v>68539.459616073349</v>
      </c>
    </row>
    <row r="240" spans="2:4" x14ac:dyDescent="0.3">
      <c r="B240" s="11">
        <f t="shared" si="5"/>
        <v>238</v>
      </c>
      <c r="C240" s="11">
        <v>95433.108471711006</v>
      </c>
      <c r="D240" s="11">
        <v>95433.108471711006</v>
      </c>
    </row>
    <row r="241" spans="2:4" x14ac:dyDescent="0.3">
      <c r="B241" s="11">
        <f t="shared" si="5"/>
        <v>239</v>
      </c>
      <c r="C241" s="11">
        <v>152273.10990195</v>
      </c>
      <c r="D241" s="11">
        <v>153743.48018525372</v>
      </c>
    </row>
    <row r="242" spans="2:4" x14ac:dyDescent="0.3">
      <c r="B242" s="11">
        <f t="shared" si="5"/>
        <v>240</v>
      </c>
      <c r="C242" s="11">
        <v>151595.88646215806</v>
      </c>
      <c r="D242" s="11">
        <v>146635.83261123943</v>
      </c>
    </row>
    <row r="243" spans="2:4" x14ac:dyDescent="0.3">
      <c r="B243" s="11">
        <f t="shared" si="5"/>
        <v>241</v>
      </c>
      <c r="C243" s="11">
        <v>121207.91478740724</v>
      </c>
      <c r="D243" s="11">
        <v>121207.91478740724</v>
      </c>
    </row>
    <row r="244" spans="2:4" x14ac:dyDescent="0.3">
      <c r="B244" s="11">
        <f t="shared" si="5"/>
        <v>242</v>
      </c>
      <c r="C244" s="11">
        <v>117507.48173127708</v>
      </c>
      <c r="D244" s="11">
        <v>117507.48173127708</v>
      </c>
    </row>
    <row r="245" spans="2:4" x14ac:dyDescent="0.3">
      <c r="B245" s="11">
        <f t="shared" si="5"/>
        <v>243</v>
      </c>
      <c r="C245" s="11">
        <v>136123.04752516412</v>
      </c>
      <c r="D245" s="11">
        <v>136123.04752516412</v>
      </c>
    </row>
    <row r="246" spans="2:4" x14ac:dyDescent="0.3">
      <c r="B246" s="11">
        <f t="shared" si="5"/>
        <v>244</v>
      </c>
      <c r="C246" s="11">
        <v>147996.08063169353</v>
      </c>
      <c r="D246" s="11">
        <v>147996.08063169353</v>
      </c>
    </row>
    <row r="247" spans="2:4" x14ac:dyDescent="0.3">
      <c r="B247" s="11">
        <f t="shared" si="5"/>
        <v>245</v>
      </c>
      <c r="C247" s="11">
        <v>99778.565059555956</v>
      </c>
      <c r="D247" s="11">
        <v>99778.565059555956</v>
      </c>
    </row>
    <row r="248" spans="2:4" x14ac:dyDescent="0.3">
      <c r="B248" s="11">
        <f t="shared" si="5"/>
        <v>246</v>
      </c>
      <c r="C248" s="11">
        <v>102072.0209078522</v>
      </c>
      <c r="D248" s="11">
        <v>102072.0209078522</v>
      </c>
    </row>
    <row r="249" spans="2:4" x14ac:dyDescent="0.3">
      <c r="B249" s="11">
        <f t="shared" si="5"/>
        <v>247</v>
      </c>
      <c r="C249" s="11">
        <v>106015.4277727709</v>
      </c>
      <c r="D249" s="11">
        <v>110392.33984733791</v>
      </c>
    </row>
    <row r="250" spans="2:4" x14ac:dyDescent="0.3">
      <c r="B250" s="11">
        <f t="shared" si="5"/>
        <v>248</v>
      </c>
      <c r="C250" s="11">
        <v>98686.049749068799</v>
      </c>
      <c r="D250" s="11">
        <v>98686.049749068799</v>
      </c>
    </row>
    <row r="251" spans="2:4" x14ac:dyDescent="0.3">
      <c r="B251" s="11">
        <f t="shared" si="5"/>
        <v>249</v>
      </c>
      <c r="C251" s="11">
        <v>79918.234564051541</v>
      </c>
      <c r="D251" s="11">
        <v>79918.234564051541</v>
      </c>
    </row>
    <row r="252" spans="2:4" x14ac:dyDescent="0.3">
      <c r="B252" s="11">
        <f t="shared" si="5"/>
        <v>250</v>
      </c>
      <c r="C252" s="11">
        <v>76405.187444923402</v>
      </c>
      <c r="D252" s="11">
        <v>76405.187444923402</v>
      </c>
    </row>
    <row r="253" spans="2:4" x14ac:dyDescent="0.3">
      <c r="B253" s="11">
        <f t="shared" si="5"/>
        <v>251</v>
      </c>
      <c r="C253" s="11">
        <v>71967.923949741613</v>
      </c>
      <c r="D253" s="11">
        <v>71967.923949741613</v>
      </c>
    </row>
    <row r="254" spans="2:4" x14ac:dyDescent="0.3">
      <c r="B254" s="11">
        <f t="shared" si="5"/>
        <v>252</v>
      </c>
      <c r="C254" s="11">
        <v>116222.51850927132</v>
      </c>
      <c r="D254" s="11">
        <v>113281.79929390931</v>
      </c>
    </row>
    <row r="255" spans="2:4" x14ac:dyDescent="0.3">
      <c r="B255" s="11">
        <f t="shared" si="5"/>
        <v>253</v>
      </c>
      <c r="C255" s="11">
        <v>142838.90874379006</v>
      </c>
      <c r="D255" s="11">
        <v>146748.25535286151</v>
      </c>
    </row>
    <row r="256" spans="2:4" x14ac:dyDescent="0.3">
      <c r="B256" s="11">
        <f t="shared" si="5"/>
        <v>254</v>
      </c>
      <c r="C256" s="11">
        <v>264495.71205683512</v>
      </c>
      <c r="D256" s="11">
        <v>264495.71205683512</v>
      </c>
    </row>
    <row r="257" spans="2:4" x14ac:dyDescent="0.3">
      <c r="B257" s="11">
        <f t="shared" si="5"/>
        <v>255</v>
      </c>
      <c r="C257" s="11">
        <v>124581.30040255113</v>
      </c>
      <c r="D257" s="11">
        <v>124581.30040255113</v>
      </c>
    </row>
    <row r="258" spans="2:4" x14ac:dyDescent="0.3">
      <c r="B258" s="11">
        <f t="shared" si="5"/>
        <v>256</v>
      </c>
      <c r="C258" s="11">
        <v>117237.41443731528</v>
      </c>
      <c r="D258" s="11">
        <v>117237.41443731528</v>
      </c>
    </row>
    <row r="259" spans="2:4" x14ac:dyDescent="0.3">
      <c r="B259" s="11">
        <f t="shared" si="5"/>
        <v>257</v>
      </c>
      <c r="C259" s="11">
        <v>51192.944760506754</v>
      </c>
      <c r="D259" s="11">
        <v>51192.944760506754</v>
      </c>
    </row>
    <row r="260" spans="2:4" x14ac:dyDescent="0.3">
      <c r="B260" s="11">
        <f t="shared" si="5"/>
        <v>258</v>
      </c>
      <c r="C260" s="11">
        <v>64161.879766554266</v>
      </c>
      <c r="D260" s="11">
        <v>64161.879766554266</v>
      </c>
    </row>
    <row r="261" spans="2:4" x14ac:dyDescent="0.3">
      <c r="B261" s="11">
        <f t="shared" ref="B261:B324" si="6">B260+1</f>
        <v>259</v>
      </c>
      <c r="C261" s="11">
        <v>104113.81182384914</v>
      </c>
      <c r="D261" s="11">
        <v>104113.81182384914</v>
      </c>
    </row>
    <row r="262" spans="2:4" x14ac:dyDescent="0.3">
      <c r="B262" s="11">
        <f t="shared" si="6"/>
        <v>260</v>
      </c>
      <c r="C262" s="11">
        <v>157700.59049516771</v>
      </c>
      <c r="D262" s="11">
        <v>157700.59049516771</v>
      </c>
    </row>
    <row r="263" spans="2:4" x14ac:dyDescent="0.3">
      <c r="B263" s="11">
        <f t="shared" si="6"/>
        <v>261</v>
      </c>
      <c r="C263" s="11">
        <v>91087.170181165042</v>
      </c>
      <c r="D263" s="11">
        <v>91087.170181165042</v>
      </c>
    </row>
    <row r="264" spans="2:4" x14ac:dyDescent="0.3">
      <c r="B264" s="11">
        <f t="shared" si="6"/>
        <v>262</v>
      </c>
      <c r="C264" s="11">
        <v>126218.3764208085</v>
      </c>
      <c r="D264" s="11">
        <v>126218.3764208085</v>
      </c>
    </row>
    <row r="265" spans="2:4" x14ac:dyDescent="0.3">
      <c r="B265" s="11">
        <f t="shared" si="6"/>
        <v>263</v>
      </c>
      <c r="C265" s="11">
        <v>128056.6741704403</v>
      </c>
      <c r="D265" s="11">
        <v>129860.42882534588</v>
      </c>
    </row>
    <row r="266" spans="2:4" x14ac:dyDescent="0.3">
      <c r="B266" s="11">
        <f t="shared" si="6"/>
        <v>264</v>
      </c>
      <c r="C266" s="11">
        <v>96963.841296710933</v>
      </c>
      <c r="D266" s="11">
        <v>96963.841296710933</v>
      </c>
    </row>
    <row r="267" spans="2:4" x14ac:dyDescent="0.3">
      <c r="B267" s="11">
        <f t="shared" si="6"/>
        <v>265</v>
      </c>
      <c r="C267" s="11">
        <v>90398.763113189547</v>
      </c>
      <c r="D267" s="11">
        <v>90398.763113189547</v>
      </c>
    </row>
    <row r="268" spans="2:4" x14ac:dyDescent="0.3">
      <c r="B268" s="11">
        <f t="shared" si="6"/>
        <v>266</v>
      </c>
      <c r="C268" s="11">
        <v>141607.72797706717</v>
      </c>
      <c r="D268" s="11">
        <v>141607.72797706717</v>
      </c>
    </row>
    <row r="269" spans="2:4" x14ac:dyDescent="0.3">
      <c r="B269" s="11">
        <f t="shared" si="6"/>
        <v>267</v>
      </c>
      <c r="C269" s="11">
        <v>170813.76949310148</v>
      </c>
      <c r="D269" s="11">
        <v>170813.76949310148</v>
      </c>
    </row>
    <row r="270" spans="2:4" x14ac:dyDescent="0.3">
      <c r="B270" s="11">
        <f t="shared" si="6"/>
        <v>268</v>
      </c>
      <c r="C270" s="11">
        <v>105398.36359630366</v>
      </c>
      <c r="D270" s="11">
        <v>104529.59072113119</v>
      </c>
    </row>
    <row r="271" spans="2:4" x14ac:dyDescent="0.3">
      <c r="B271" s="11">
        <f t="shared" si="6"/>
        <v>269</v>
      </c>
      <c r="C271" s="11">
        <v>101103.44428939671</v>
      </c>
      <c r="D271" s="11">
        <v>101103.44428939671</v>
      </c>
    </row>
    <row r="272" spans="2:4" x14ac:dyDescent="0.3">
      <c r="B272" s="11">
        <f t="shared" si="6"/>
        <v>270</v>
      </c>
      <c r="C272" s="11">
        <v>162723.29169870474</v>
      </c>
      <c r="D272" s="11">
        <v>162723.29169870474</v>
      </c>
    </row>
    <row r="273" spans="2:4" x14ac:dyDescent="0.3">
      <c r="B273" s="11">
        <f t="shared" si="6"/>
        <v>271</v>
      </c>
      <c r="C273" s="11">
        <v>96717.339335662109</v>
      </c>
      <c r="D273" s="11">
        <v>96717.339335662109</v>
      </c>
    </row>
    <row r="274" spans="2:4" x14ac:dyDescent="0.3">
      <c r="B274" s="11">
        <f t="shared" si="6"/>
        <v>272</v>
      </c>
      <c r="C274" s="11">
        <v>132398.68802212481</v>
      </c>
      <c r="D274" s="11">
        <v>132398.68802212481</v>
      </c>
    </row>
    <row r="275" spans="2:4" x14ac:dyDescent="0.3">
      <c r="B275" s="11">
        <f t="shared" si="6"/>
        <v>273</v>
      </c>
      <c r="C275" s="11">
        <v>135780.48437893775</v>
      </c>
      <c r="D275" s="11">
        <v>135780.48437893775</v>
      </c>
    </row>
    <row r="276" spans="2:4" x14ac:dyDescent="0.3">
      <c r="B276" s="11">
        <f t="shared" si="6"/>
        <v>274</v>
      </c>
      <c r="C276" s="11">
        <v>173170.78885154278</v>
      </c>
      <c r="D276" s="11">
        <v>173170.78885154278</v>
      </c>
    </row>
    <row r="277" spans="2:4" x14ac:dyDescent="0.3">
      <c r="B277" s="11">
        <f t="shared" si="6"/>
        <v>275</v>
      </c>
      <c r="C277" s="11">
        <v>126343.65485883642</v>
      </c>
      <c r="D277" s="11">
        <v>126343.65485883642</v>
      </c>
    </row>
    <row r="278" spans="2:4" x14ac:dyDescent="0.3">
      <c r="B278" s="11">
        <f t="shared" si="6"/>
        <v>276</v>
      </c>
      <c r="C278" s="11">
        <v>161817.28575629939</v>
      </c>
      <c r="D278" s="11">
        <v>161817.28575629939</v>
      </c>
    </row>
    <row r="279" spans="2:4" x14ac:dyDescent="0.3">
      <c r="B279" s="11">
        <f t="shared" si="6"/>
        <v>277</v>
      </c>
      <c r="C279" s="11">
        <v>72321.498980886536</v>
      </c>
      <c r="D279" s="11">
        <v>72321.498980886536</v>
      </c>
    </row>
    <row r="280" spans="2:4" x14ac:dyDescent="0.3">
      <c r="B280" s="11">
        <f t="shared" si="6"/>
        <v>278</v>
      </c>
      <c r="C280" s="11">
        <v>77795.866330558638</v>
      </c>
      <c r="D280" s="11">
        <v>77795.866330558638</v>
      </c>
    </row>
    <row r="281" spans="2:4" x14ac:dyDescent="0.3">
      <c r="B281" s="11">
        <f t="shared" si="6"/>
        <v>279</v>
      </c>
      <c r="C281" s="11">
        <v>161821.65733249282</v>
      </c>
      <c r="D281" s="11">
        <v>161821.65733249282</v>
      </c>
    </row>
    <row r="282" spans="2:4" x14ac:dyDescent="0.3">
      <c r="B282" s="11">
        <f t="shared" si="6"/>
        <v>280</v>
      </c>
      <c r="C282" s="11">
        <v>98243.360262274102</v>
      </c>
      <c r="D282" s="11">
        <v>98243.360262274102</v>
      </c>
    </row>
    <row r="283" spans="2:4" x14ac:dyDescent="0.3">
      <c r="B283" s="11">
        <f t="shared" si="6"/>
        <v>281</v>
      </c>
      <c r="C283" s="11">
        <v>84934.601255389498</v>
      </c>
      <c r="D283" s="11">
        <v>84934.601255389498</v>
      </c>
    </row>
    <row r="284" spans="2:4" x14ac:dyDescent="0.3">
      <c r="B284" s="11">
        <f t="shared" si="6"/>
        <v>282</v>
      </c>
      <c r="C284" s="11">
        <v>80875.350303359446</v>
      </c>
      <c r="D284" s="11">
        <v>80875.350303359446</v>
      </c>
    </row>
    <row r="285" spans="2:4" x14ac:dyDescent="0.3">
      <c r="B285" s="11">
        <f t="shared" si="6"/>
        <v>283</v>
      </c>
      <c r="C285" s="11">
        <v>93885.18613487063</v>
      </c>
      <c r="D285" s="11">
        <v>93885.18613487063</v>
      </c>
    </row>
    <row r="286" spans="2:4" x14ac:dyDescent="0.3">
      <c r="B286" s="11">
        <f t="shared" si="6"/>
        <v>284</v>
      </c>
      <c r="C286" s="11">
        <v>51444.096071095046</v>
      </c>
      <c r="D286" s="11">
        <v>51444.096071095046</v>
      </c>
    </row>
    <row r="287" spans="2:4" x14ac:dyDescent="0.3">
      <c r="B287" s="11">
        <f t="shared" si="6"/>
        <v>285</v>
      </c>
      <c r="C287" s="11">
        <v>109372.87394614777</v>
      </c>
      <c r="D287" s="11">
        <v>109372.87394614777</v>
      </c>
    </row>
    <row r="288" spans="2:4" x14ac:dyDescent="0.3">
      <c r="B288" s="11">
        <f t="shared" si="6"/>
        <v>286</v>
      </c>
      <c r="C288" s="11">
        <v>93637.585209762692</v>
      </c>
      <c r="D288" s="11">
        <v>93637.585209762692</v>
      </c>
    </row>
    <row r="289" spans="2:4" x14ac:dyDescent="0.3">
      <c r="B289" s="11">
        <f t="shared" si="6"/>
        <v>287</v>
      </c>
      <c r="C289" s="11">
        <v>68345.409772198545</v>
      </c>
      <c r="D289" s="11">
        <v>68281.798370383985</v>
      </c>
    </row>
    <row r="290" spans="2:4" x14ac:dyDescent="0.3">
      <c r="B290" s="11">
        <f t="shared" si="6"/>
        <v>288</v>
      </c>
      <c r="C290" s="11">
        <v>96808.670725067946</v>
      </c>
      <c r="D290" s="11">
        <v>96808.670725067946</v>
      </c>
    </row>
    <row r="291" spans="2:4" x14ac:dyDescent="0.3">
      <c r="B291" s="11">
        <f t="shared" si="6"/>
        <v>289</v>
      </c>
      <c r="C291" s="11">
        <v>114335.72944503279</v>
      </c>
      <c r="D291" s="11">
        <v>114335.72944503279</v>
      </c>
    </row>
    <row r="292" spans="2:4" x14ac:dyDescent="0.3">
      <c r="B292" s="11">
        <f t="shared" si="6"/>
        <v>290</v>
      </c>
      <c r="C292" s="11">
        <v>104684.09460977663</v>
      </c>
      <c r="D292" s="11">
        <v>104684.09460977663</v>
      </c>
    </row>
    <row r="293" spans="2:4" x14ac:dyDescent="0.3">
      <c r="B293" s="11">
        <f t="shared" si="6"/>
        <v>291</v>
      </c>
      <c r="C293" s="11">
        <v>123271.37939796638</v>
      </c>
      <c r="D293" s="11">
        <v>123271.37939796638</v>
      </c>
    </row>
    <row r="294" spans="2:4" x14ac:dyDescent="0.3">
      <c r="B294" s="11">
        <f t="shared" si="6"/>
        <v>292</v>
      </c>
      <c r="C294" s="11">
        <v>70588.330847559992</v>
      </c>
      <c r="D294" s="11">
        <v>70588.330847559992</v>
      </c>
    </row>
    <row r="295" spans="2:4" x14ac:dyDescent="0.3">
      <c r="B295" s="11">
        <f t="shared" si="6"/>
        <v>293</v>
      </c>
      <c r="C295" s="11">
        <v>89705.042485428407</v>
      </c>
      <c r="D295" s="11">
        <v>89705.042485428407</v>
      </c>
    </row>
    <row r="296" spans="2:4" x14ac:dyDescent="0.3">
      <c r="B296" s="11">
        <f t="shared" si="6"/>
        <v>294</v>
      </c>
      <c r="C296" s="11">
        <v>58632.184677859354</v>
      </c>
      <c r="D296" s="11">
        <v>58632.184677859354</v>
      </c>
    </row>
    <row r="297" spans="2:4" x14ac:dyDescent="0.3">
      <c r="B297" s="11">
        <f t="shared" si="6"/>
        <v>295</v>
      </c>
      <c r="C297" s="11">
        <v>159977.86270750992</v>
      </c>
      <c r="D297" s="11">
        <v>161146.47360015797</v>
      </c>
    </row>
    <row r="298" spans="2:4" x14ac:dyDescent="0.3">
      <c r="B298" s="11">
        <f t="shared" si="6"/>
        <v>296</v>
      </c>
      <c r="C298" s="11">
        <v>55789.499090967329</v>
      </c>
      <c r="D298" s="11">
        <v>55789.499090967329</v>
      </c>
    </row>
    <row r="299" spans="2:4" x14ac:dyDescent="0.3">
      <c r="B299" s="11">
        <f t="shared" si="6"/>
        <v>297</v>
      </c>
      <c r="C299" s="11">
        <v>114128.77044978505</v>
      </c>
      <c r="D299" s="11">
        <v>114128.77044978505</v>
      </c>
    </row>
    <row r="300" spans="2:4" x14ac:dyDescent="0.3">
      <c r="B300" s="11">
        <f t="shared" si="6"/>
        <v>298</v>
      </c>
      <c r="C300" s="11">
        <v>120095.62044498508</v>
      </c>
      <c r="D300" s="11">
        <v>120095.62044498508</v>
      </c>
    </row>
    <row r="301" spans="2:4" x14ac:dyDescent="0.3">
      <c r="B301" s="11">
        <f t="shared" si="6"/>
        <v>299</v>
      </c>
      <c r="C301" s="11">
        <v>95061.273892510464</v>
      </c>
      <c r="D301" s="11">
        <v>94700.135868165584</v>
      </c>
    </row>
    <row r="302" spans="2:4" x14ac:dyDescent="0.3">
      <c r="B302" s="11">
        <f t="shared" si="6"/>
        <v>300</v>
      </c>
      <c r="C302" s="11">
        <v>73439.531942892572</v>
      </c>
      <c r="D302" s="11">
        <v>73439.531942892572</v>
      </c>
    </row>
    <row r="303" spans="2:4" x14ac:dyDescent="0.3">
      <c r="B303" s="11">
        <f t="shared" si="6"/>
        <v>301</v>
      </c>
      <c r="C303" s="11">
        <v>92317.344826167377</v>
      </c>
      <c r="D303" s="11">
        <v>92317.344826167377</v>
      </c>
    </row>
    <row r="304" spans="2:4" x14ac:dyDescent="0.3">
      <c r="B304" s="11">
        <f t="shared" si="6"/>
        <v>302</v>
      </c>
      <c r="C304" s="11">
        <v>96697.402846786266</v>
      </c>
      <c r="D304" s="11">
        <v>96697.402846786266</v>
      </c>
    </row>
    <row r="305" spans="2:4" x14ac:dyDescent="0.3">
      <c r="B305" s="11">
        <f t="shared" si="6"/>
        <v>303</v>
      </c>
      <c r="C305" s="11">
        <v>97764.544816779948</v>
      </c>
      <c r="D305" s="11">
        <v>97764.544816779948</v>
      </c>
    </row>
    <row r="306" spans="2:4" x14ac:dyDescent="0.3">
      <c r="B306" s="11">
        <f t="shared" si="6"/>
        <v>304</v>
      </c>
      <c r="C306" s="11">
        <v>104065.56010588037</v>
      </c>
      <c r="D306" s="11">
        <v>104065.56010588037</v>
      </c>
    </row>
    <row r="307" spans="2:4" x14ac:dyDescent="0.3">
      <c r="B307" s="11">
        <f t="shared" si="6"/>
        <v>305</v>
      </c>
      <c r="C307" s="11">
        <v>89848.485862029207</v>
      </c>
      <c r="D307" s="11">
        <v>89848.485862029207</v>
      </c>
    </row>
    <row r="308" spans="2:4" x14ac:dyDescent="0.3">
      <c r="B308" s="11">
        <f t="shared" si="6"/>
        <v>306</v>
      </c>
      <c r="C308" s="11">
        <v>70878.820634706615</v>
      </c>
      <c r="D308" s="11">
        <v>70878.820634706615</v>
      </c>
    </row>
    <row r="309" spans="2:4" x14ac:dyDescent="0.3">
      <c r="B309" s="11">
        <f t="shared" si="6"/>
        <v>307</v>
      </c>
      <c r="C309" s="11">
        <v>219378.18207891186</v>
      </c>
      <c r="D309" s="11">
        <v>219378.18207891186</v>
      </c>
    </row>
    <row r="310" spans="2:4" x14ac:dyDescent="0.3">
      <c r="B310" s="11">
        <f t="shared" si="6"/>
        <v>308</v>
      </c>
      <c r="C310" s="11">
        <v>116545.04397958684</v>
      </c>
      <c r="D310" s="11">
        <v>116545.04397958684</v>
      </c>
    </row>
    <row r="311" spans="2:4" x14ac:dyDescent="0.3">
      <c r="B311" s="11">
        <f t="shared" si="6"/>
        <v>309</v>
      </c>
      <c r="C311" s="11">
        <v>80577.492131989216</v>
      </c>
      <c r="D311" s="11">
        <v>80577.492131989216</v>
      </c>
    </row>
    <row r="312" spans="2:4" x14ac:dyDescent="0.3">
      <c r="B312" s="11">
        <f t="shared" si="6"/>
        <v>310</v>
      </c>
      <c r="C312" s="11">
        <v>255418.51808009585</v>
      </c>
      <c r="D312" s="11">
        <v>255418.51808009585</v>
      </c>
    </row>
    <row r="313" spans="2:4" x14ac:dyDescent="0.3">
      <c r="B313" s="11">
        <f t="shared" si="6"/>
        <v>311</v>
      </c>
      <c r="C313" s="11">
        <v>167238.76465271955</v>
      </c>
      <c r="D313" s="11">
        <v>167238.76465271955</v>
      </c>
    </row>
    <row r="314" spans="2:4" x14ac:dyDescent="0.3">
      <c r="B314" s="11">
        <f t="shared" si="6"/>
        <v>312</v>
      </c>
      <c r="C314" s="11">
        <v>136526.10746318763</v>
      </c>
      <c r="D314" s="11">
        <v>136526.10746318763</v>
      </c>
    </row>
    <row r="315" spans="2:4" x14ac:dyDescent="0.3">
      <c r="B315" s="11">
        <f t="shared" si="6"/>
        <v>313</v>
      </c>
      <c r="C315" s="11">
        <v>70543.739806700018</v>
      </c>
      <c r="D315" s="11">
        <v>70543.739806700018</v>
      </c>
    </row>
    <row r="316" spans="2:4" x14ac:dyDescent="0.3">
      <c r="B316" s="11">
        <f t="shared" si="6"/>
        <v>314</v>
      </c>
      <c r="C316" s="11">
        <v>202466.40738200629</v>
      </c>
      <c r="D316" s="11">
        <v>202466.40738200629</v>
      </c>
    </row>
    <row r="317" spans="2:4" x14ac:dyDescent="0.3">
      <c r="B317" s="11">
        <f t="shared" si="6"/>
        <v>315</v>
      </c>
      <c r="C317" s="11">
        <v>130058.02742295984</v>
      </c>
      <c r="D317" s="11">
        <v>130058.02742295984</v>
      </c>
    </row>
    <row r="318" spans="2:4" x14ac:dyDescent="0.3">
      <c r="B318" s="11">
        <f t="shared" si="6"/>
        <v>316</v>
      </c>
      <c r="C318" s="11">
        <v>75660.294256805442</v>
      </c>
      <c r="D318" s="11">
        <v>75660.294256805442</v>
      </c>
    </row>
    <row r="319" spans="2:4" x14ac:dyDescent="0.3">
      <c r="B319" s="11">
        <f t="shared" si="6"/>
        <v>317</v>
      </c>
      <c r="C319" s="11">
        <v>149438.2612646319</v>
      </c>
      <c r="D319" s="11">
        <v>149438.2612646319</v>
      </c>
    </row>
    <row r="320" spans="2:4" x14ac:dyDescent="0.3">
      <c r="B320" s="11">
        <f t="shared" si="6"/>
        <v>318</v>
      </c>
      <c r="C320" s="11">
        <v>132695.521387388</v>
      </c>
      <c r="D320" s="11">
        <v>132695.521387388</v>
      </c>
    </row>
    <row r="321" spans="2:4" x14ac:dyDescent="0.3">
      <c r="B321" s="11">
        <f t="shared" si="6"/>
        <v>319</v>
      </c>
      <c r="C321" s="11">
        <v>71250.077726680465</v>
      </c>
      <c r="D321" s="11">
        <v>71250.077726680465</v>
      </c>
    </row>
    <row r="322" spans="2:4" x14ac:dyDescent="0.3">
      <c r="B322" s="11">
        <f t="shared" si="6"/>
        <v>320</v>
      </c>
      <c r="C322" s="11">
        <v>169820.26883404722</v>
      </c>
      <c r="D322" s="11">
        <v>172475.07227485534</v>
      </c>
    </row>
    <row r="323" spans="2:4" x14ac:dyDescent="0.3">
      <c r="B323" s="11">
        <f t="shared" si="6"/>
        <v>321</v>
      </c>
      <c r="C323" s="11">
        <v>123895.95647474521</v>
      </c>
      <c r="D323" s="11">
        <v>123895.95647474521</v>
      </c>
    </row>
    <row r="324" spans="2:4" x14ac:dyDescent="0.3">
      <c r="B324" s="11">
        <f t="shared" si="6"/>
        <v>322</v>
      </c>
      <c r="C324" s="11">
        <v>157371.67175470953</v>
      </c>
      <c r="D324" s="11">
        <v>157371.67175470953</v>
      </c>
    </row>
    <row r="325" spans="2:4" x14ac:dyDescent="0.3">
      <c r="B325" s="11">
        <f t="shared" ref="B325:B388" si="7">B324+1</f>
        <v>323</v>
      </c>
      <c r="C325" s="11">
        <v>155747.25501375386</v>
      </c>
      <c r="D325" s="11">
        <v>155747.25501375386</v>
      </c>
    </row>
    <row r="326" spans="2:4" x14ac:dyDescent="0.3">
      <c r="B326" s="11">
        <f t="shared" si="7"/>
        <v>324</v>
      </c>
      <c r="C326" s="11">
        <v>88571.14091642687</v>
      </c>
      <c r="D326" s="11">
        <v>88571.14091642687</v>
      </c>
    </row>
    <row r="327" spans="2:4" x14ac:dyDescent="0.3">
      <c r="B327" s="11">
        <f t="shared" si="7"/>
        <v>325</v>
      </c>
      <c r="C327" s="11">
        <v>95162.771147960986</v>
      </c>
      <c r="D327" s="11">
        <v>95162.771147960986</v>
      </c>
    </row>
    <row r="328" spans="2:4" x14ac:dyDescent="0.3">
      <c r="B328" s="11">
        <f t="shared" si="7"/>
        <v>326</v>
      </c>
      <c r="C328" s="11">
        <v>101435.54129645832</v>
      </c>
      <c r="D328" s="11">
        <v>101435.54129645832</v>
      </c>
    </row>
    <row r="329" spans="2:4" x14ac:dyDescent="0.3">
      <c r="B329" s="11">
        <f t="shared" si="7"/>
        <v>327</v>
      </c>
      <c r="C329" s="11">
        <v>110481.56659748743</v>
      </c>
      <c r="D329" s="11">
        <v>110481.56659748743</v>
      </c>
    </row>
    <row r="330" spans="2:4" x14ac:dyDescent="0.3">
      <c r="B330" s="11">
        <f t="shared" si="7"/>
        <v>328</v>
      </c>
      <c r="C330" s="11">
        <v>69811.376595116017</v>
      </c>
      <c r="D330" s="11">
        <v>69638.01708716189</v>
      </c>
    </row>
    <row r="331" spans="2:4" x14ac:dyDescent="0.3">
      <c r="B331" s="11">
        <f t="shared" si="7"/>
        <v>329</v>
      </c>
      <c r="C331" s="11">
        <v>86263.509020979021</v>
      </c>
      <c r="D331" s="11">
        <v>86263.509020979021</v>
      </c>
    </row>
    <row r="332" spans="2:4" x14ac:dyDescent="0.3">
      <c r="B332" s="11">
        <f t="shared" si="7"/>
        <v>330</v>
      </c>
      <c r="C332" s="11">
        <v>61146.243148350688</v>
      </c>
      <c r="D332" s="11">
        <v>61146.243148350688</v>
      </c>
    </row>
    <row r="333" spans="2:4" x14ac:dyDescent="0.3">
      <c r="B333" s="11">
        <f t="shared" si="7"/>
        <v>331</v>
      </c>
      <c r="C333" s="11">
        <v>56406.031826245417</v>
      </c>
      <c r="D333" s="11">
        <v>56406.031826245417</v>
      </c>
    </row>
    <row r="334" spans="2:4" x14ac:dyDescent="0.3">
      <c r="B334" s="11">
        <f t="shared" si="7"/>
        <v>332</v>
      </c>
      <c r="C334" s="11">
        <v>92525.688210693901</v>
      </c>
      <c r="D334" s="11">
        <v>92525.688210693901</v>
      </c>
    </row>
    <row r="335" spans="2:4" x14ac:dyDescent="0.3">
      <c r="B335" s="11">
        <f t="shared" si="7"/>
        <v>333</v>
      </c>
      <c r="C335" s="11">
        <v>88029.236652198291</v>
      </c>
      <c r="D335" s="11">
        <v>88029.236652198291</v>
      </c>
    </row>
    <row r="336" spans="2:4" x14ac:dyDescent="0.3">
      <c r="B336" s="11">
        <f t="shared" si="7"/>
        <v>334</v>
      </c>
      <c r="C336" s="11">
        <v>82040.425737844242</v>
      </c>
      <c r="D336" s="11">
        <v>82040.425737844242</v>
      </c>
    </row>
    <row r="337" spans="2:4" x14ac:dyDescent="0.3">
      <c r="B337" s="11">
        <f t="shared" si="7"/>
        <v>335</v>
      </c>
      <c r="C337" s="11">
        <v>75864.685407701545</v>
      </c>
      <c r="D337" s="11">
        <v>76235.103900618036</v>
      </c>
    </row>
    <row r="338" spans="2:4" x14ac:dyDescent="0.3">
      <c r="B338" s="11">
        <f t="shared" si="7"/>
        <v>336</v>
      </c>
      <c r="C338" s="11">
        <v>53912.432421154124</v>
      </c>
      <c r="D338" s="11">
        <v>53912.432421154124</v>
      </c>
    </row>
    <row r="339" spans="2:4" x14ac:dyDescent="0.3">
      <c r="B339" s="11">
        <f t="shared" si="7"/>
        <v>337</v>
      </c>
      <c r="C339" s="11">
        <v>103024.46542465589</v>
      </c>
      <c r="D339" s="11">
        <v>103024.46542465589</v>
      </c>
    </row>
    <row r="340" spans="2:4" x14ac:dyDescent="0.3">
      <c r="B340" s="11">
        <f t="shared" si="7"/>
        <v>338</v>
      </c>
      <c r="C340" s="11">
        <v>91406.282456663073</v>
      </c>
      <c r="D340" s="11">
        <v>91406.282456663073</v>
      </c>
    </row>
    <row r="341" spans="2:4" x14ac:dyDescent="0.3">
      <c r="B341" s="11">
        <f t="shared" si="7"/>
        <v>339</v>
      </c>
      <c r="C341" s="11">
        <v>49648.545803173824</v>
      </c>
      <c r="D341" s="11">
        <v>49648.545803173824</v>
      </c>
    </row>
    <row r="342" spans="2:4" x14ac:dyDescent="0.3">
      <c r="B342" s="11">
        <f t="shared" si="7"/>
        <v>340</v>
      </c>
      <c r="C342" s="11">
        <v>123861.21665928702</v>
      </c>
      <c r="D342" s="11">
        <v>121432.78095161538</v>
      </c>
    </row>
    <row r="343" spans="2:4" x14ac:dyDescent="0.3">
      <c r="B343" s="11">
        <f t="shared" si="7"/>
        <v>341</v>
      </c>
      <c r="C343" s="11">
        <v>57177.936946756716</v>
      </c>
      <c r="D343" s="11">
        <v>56292.47026358029</v>
      </c>
    </row>
    <row r="344" spans="2:4" x14ac:dyDescent="0.3">
      <c r="B344" s="11">
        <f t="shared" si="7"/>
        <v>342</v>
      </c>
      <c r="C344" s="11">
        <v>84205.221604135921</v>
      </c>
      <c r="D344" s="11">
        <v>84205.221604135921</v>
      </c>
    </row>
    <row r="345" spans="2:4" x14ac:dyDescent="0.3">
      <c r="B345" s="11">
        <f t="shared" si="7"/>
        <v>343</v>
      </c>
      <c r="C345" s="11">
        <v>67157.297510225253</v>
      </c>
      <c r="D345" s="11">
        <v>66811.178467301463</v>
      </c>
    </row>
    <row r="346" spans="2:4" x14ac:dyDescent="0.3">
      <c r="B346" s="11">
        <f t="shared" si="7"/>
        <v>344</v>
      </c>
      <c r="C346" s="11">
        <v>87749.669049680087</v>
      </c>
      <c r="D346" s="11">
        <v>87749.669049680087</v>
      </c>
    </row>
    <row r="347" spans="2:4" x14ac:dyDescent="0.3">
      <c r="B347" s="11">
        <f t="shared" si="7"/>
        <v>345</v>
      </c>
      <c r="C347" s="11">
        <v>143496.78461989443</v>
      </c>
      <c r="D347" s="11">
        <v>143496.78461989443</v>
      </c>
    </row>
    <row r="348" spans="2:4" x14ac:dyDescent="0.3">
      <c r="B348" s="11">
        <f t="shared" si="7"/>
        <v>346</v>
      </c>
      <c r="C348" s="11">
        <v>111537.62960948228</v>
      </c>
      <c r="D348" s="11">
        <v>113974.36459687531</v>
      </c>
    </row>
    <row r="349" spans="2:4" x14ac:dyDescent="0.3">
      <c r="B349" s="11">
        <f t="shared" si="7"/>
        <v>347</v>
      </c>
      <c r="C349" s="11">
        <v>132115.69198827294</v>
      </c>
      <c r="D349" s="11">
        <v>132115.69198827294</v>
      </c>
    </row>
    <row r="350" spans="2:4" x14ac:dyDescent="0.3">
      <c r="B350" s="11">
        <f t="shared" si="7"/>
        <v>348</v>
      </c>
      <c r="C350" s="11">
        <v>131412.25661613676</v>
      </c>
      <c r="D350" s="11">
        <v>131412.25661613676</v>
      </c>
    </row>
    <row r="351" spans="2:4" x14ac:dyDescent="0.3">
      <c r="B351" s="11">
        <f t="shared" si="7"/>
        <v>349</v>
      </c>
      <c r="C351" s="11">
        <v>88193.101125253947</v>
      </c>
      <c r="D351" s="11">
        <v>88193.101125253947</v>
      </c>
    </row>
    <row r="352" spans="2:4" x14ac:dyDescent="0.3">
      <c r="B352" s="11">
        <f t="shared" si="7"/>
        <v>350</v>
      </c>
      <c r="C352" s="11">
        <v>87634.024556703996</v>
      </c>
      <c r="D352" s="11">
        <v>87634.024556703996</v>
      </c>
    </row>
    <row r="353" spans="2:4" x14ac:dyDescent="0.3">
      <c r="B353" s="11">
        <f t="shared" si="7"/>
        <v>351</v>
      </c>
      <c r="C353" s="11">
        <v>141215.47711209033</v>
      </c>
      <c r="D353" s="11">
        <v>141215.47711209033</v>
      </c>
    </row>
    <row r="354" spans="2:4" x14ac:dyDescent="0.3">
      <c r="B354" s="11">
        <f t="shared" si="7"/>
        <v>352</v>
      </c>
      <c r="C354" s="11">
        <v>100139.77500458551</v>
      </c>
      <c r="D354" s="11">
        <v>100139.77500458551</v>
      </c>
    </row>
    <row r="355" spans="2:4" x14ac:dyDescent="0.3">
      <c r="B355" s="11">
        <f t="shared" si="7"/>
        <v>353</v>
      </c>
      <c r="C355" s="11">
        <v>128189.05239513294</v>
      </c>
      <c r="D355" s="11">
        <v>128189.05239513294</v>
      </c>
    </row>
    <row r="356" spans="2:4" x14ac:dyDescent="0.3">
      <c r="B356" s="11">
        <f t="shared" si="7"/>
        <v>354</v>
      </c>
      <c r="C356" s="11">
        <v>79230.803734324829</v>
      </c>
      <c r="D356" s="11">
        <v>79230.803734324829</v>
      </c>
    </row>
    <row r="357" spans="2:4" x14ac:dyDescent="0.3">
      <c r="B357" s="11">
        <f t="shared" si="7"/>
        <v>355</v>
      </c>
      <c r="C357" s="11">
        <v>108543.46320104046</v>
      </c>
      <c r="D357" s="11">
        <v>108543.46320104046</v>
      </c>
    </row>
    <row r="358" spans="2:4" x14ac:dyDescent="0.3">
      <c r="B358" s="11">
        <f t="shared" si="7"/>
        <v>356</v>
      </c>
      <c r="C358" s="11">
        <v>158684.56899717145</v>
      </c>
      <c r="D358" s="11">
        <v>158684.56899717145</v>
      </c>
    </row>
    <row r="359" spans="2:4" x14ac:dyDescent="0.3">
      <c r="B359" s="11">
        <f t="shared" si="7"/>
        <v>357</v>
      </c>
      <c r="C359" s="11">
        <v>81313.140055122378</v>
      </c>
      <c r="D359" s="11">
        <v>81313.140055122378</v>
      </c>
    </row>
    <row r="360" spans="2:4" x14ac:dyDescent="0.3">
      <c r="B360" s="11">
        <f t="shared" si="7"/>
        <v>358</v>
      </c>
      <c r="C360" s="11">
        <v>120314.70060804923</v>
      </c>
      <c r="D360" s="11">
        <v>120314.70060804923</v>
      </c>
    </row>
    <row r="361" spans="2:4" x14ac:dyDescent="0.3">
      <c r="B361" s="11">
        <f t="shared" si="7"/>
        <v>359</v>
      </c>
      <c r="C361" s="11">
        <v>52009.754430797475</v>
      </c>
      <c r="D361" s="11">
        <v>52009.754430797475</v>
      </c>
    </row>
    <row r="362" spans="2:4" x14ac:dyDescent="0.3">
      <c r="B362" s="11">
        <f t="shared" si="7"/>
        <v>360</v>
      </c>
      <c r="C362" s="11">
        <v>79678.102063443235</v>
      </c>
      <c r="D362" s="11">
        <v>79678.102063443235</v>
      </c>
    </row>
    <row r="363" spans="2:4" x14ac:dyDescent="0.3">
      <c r="B363" s="11">
        <f t="shared" si="7"/>
        <v>361</v>
      </c>
      <c r="C363" s="11">
        <v>45179.83327073534</v>
      </c>
      <c r="D363" s="11">
        <v>45179.83327073534</v>
      </c>
    </row>
    <row r="364" spans="2:4" x14ac:dyDescent="0.3">
      <c r="B364" s="11">
        <f t="shared" si="7"/>
        <v>362</v>
      </c>
      <c r="C364" s="11">
        <v>118941.53805263208</v>
      </c>
      <c r="D364" s="11">
        <v>118941.53805263208</v>
      </c>
    </row>
    <row r="365" spans="2:4" x14ac:dyDescent="0.3">
      <c r="B365" s="11">
        <f t="shared" si="7"/>
        <v>363</v>
      </c>
      <c r="C365" s="11">
        <v>207471.71516173054</v>
      </c>
      <c r="D365" s="11">
        <v>207471.71516173054</v>
      </c>
    </row>
    <row r="366" spans="2:4" x14ac:dyDescent="0.3">
      <c r="B366" s="11">
        <f t="shared" si="7"/>
        <v>364</v>
      </c>
      <c r="C366" s="11">
        <v>184746.3134195224</v>
      </c>
      <c r="D366" s="11">
        <v>184746.3134195224</v>
      </c>
    </row>
    <row r="367" spans="2:4" x14ac:dyDescent="0.3">
      <c r="B367" s="11">
        <f t="shared" si="7"/>
        <v>365</v>
      </c>
      <c r="C367" s="11">
        <v>60527.47069711885</v>
      </c>
      <c r="D367" s="11">
        <v>60527.47069711885</v>
      </c>
    </row>
    <row r="368" spans="2:4" x14ac:dyDescent="0.3">
      <c r="B368" s="11">
        <f t="shared" si="7"/>
        <v>366</v>
      </c>
      <c r="C368" s="11">
        <v>101879.78523837503</v>
      </c>
      <c r="D368" s="11">
        <v>101879.78523837503</v>
      </c>
    </row>
    <row r="369" spans="2:4" x14ac:dyDescent="0.3">
      <c r="B369" s="11">
        <f t="shared" si="7"/>
        <v>367</v>
      </c>
      <c r="C369" s="11">
        <v>53052.809224742836</v>
      </c>
      <c r="D369" s="11">
        <v>53052.809224742836</v>
      </c>
    </row>
    <row r="370" spans="2:4" x14ac:dyDescent="0.3">
      <c r="B370" s="11">
        <f t="shared" si="7"/>
        <v>368</v>
      </c>
      <c r="C370" s="11">
        <v>124027.72762982406</v>
      </c>
      <c r="D370" s="11">
        <v>125866.12719117034</v>
      </c>
    </row>
    <row r="371" spans="2:4" x14ac:dyDescent="0.3">
      <c r="B371" s="11">
        <f t="shared" si="7"/>
        <v>369</v>
      </c>
      <c r="C371" s="11">
        <v>119393.51901243658</v>
      </c>
      <c r="D371" s="11">
        <v>119393.51901243658</v>
      </c>
    </row>
    <row r="372" spans="2:4" x14ac:dyDescent="0.3">
      <c r="B372" s="11">
        <f t="shared" si="7"/>
        <v>370</v>
      </c>
      <c r="C372" s="11">
        <v>145869.03903439443</v>
      </c>
      <c r="D372" s="11">
        <v>145869.03903439443</v>
      </c>
    </row>
    <row r="373" spans="2:4" x14ac:dyDescent="0.3">
      <c r="B373" s="11">
        <f t="shared" si="7"/>
        <v>371</v>
      </c>
      <c r="C373" s="11">
        <v>203392.60887308739</v>
      </c>
      <c r="D373" s="11">
        <v>203392.60887308739</v>
      </c>
    </row>
    <row r="374" spans="2:4" x14ac:dyDescent="0.3">
      <c r="B374" s="11">
        <f t="shared" si="7"/>
        <v>372</v>
      </c>
      <c r="C374" s="11">
        <v>95552.572589086281</v>
      </c>
      <c r="D374" s="11">
        <v>95552.572589086281</v>
      </c>
    </row>
    <row r="375" spans="2:4" x14ac:dyDescent="0.3">
      <c r="B375" s="11">
        <f t="shared" si="7"/>
        <v>373</v>
      </c>
      <c r="C375" s="11">
        <v>74470.437217266852</v>
      </c>
      <c r="D375" s="11">
        <v>74470.437217266852</v>
      </c>
    </row>
    <row r="376" spans="2:4" x14ac:dyDescent="0.3">
      <c r="B376" s="11">
        <f t="shared" si="7"/>
        <v>374</v>
      </c>
      <c r="C376" s="11">
        <v>131483.34577619168</v>
      </c>
      <c r="D376" s="11">
        <v>131483.34577619168</v>
      </c>
    </row>
    <row r="377" spans="2:4" x14ac:dyDescent="0.3">
      <c r="B377" s="11">
        <f t="shared" si="7"/>
        <v>375</v>
      </c>
      <c r="C377" s="11">
        <v>107281.60555747103</v>
      </c>
      <c r="D377" s="11">
        <v>107281.60555747103</v>
      </c>
    </row>
    <row r="378" spans="2:4" x14ac:dyDescent="0.3">
      <c r="B378" s="11">
        <f t="shared" si="7"/>
        <v>376</v>
      </c>
      <c r="C378" s="11">
        <v>129939.49620251376</v>
      </c>
      <c r="D378" s="11">
        <v>126709.4056847967</v>
      </c>
    </row>
    <row r="379" spans="2:4" x14ac:dyDescent="0.3">
      <c r="B379" s="11">
        <f t="shared" si="7"/>
        <v>377</v>
      </c>
      <c r="C379" s="11">
        <v>67699.916399244496</v>
      </c>
      <c r="D379" s="11">
        <v>67699.916399244496</v>
      </c>
    </row>
    <row r="380" spans="2:4" x14ac:dyDescent="0.3">
      <c r="B380" s="11">
        <f t="shared" si="7"/>
        <v>378</v>
      </c>
      <c r="C380" s="11">
        <v>99791.838502760293</v>
      </c>
      <c r="D380" s="11">
        <v>99791.838502760293</v>
      </c>
    </row>
    <row r="381" spans="2:4" x14ac:dyDescent="0.3">
      <c r="B381" s="11">
        <f t="shared" si="7"/>
        <v>379</v>
      </c>
      <c r="C381" s="11">
        <v>122060.26130782676</v>
      </c>
      <c r="D381" s="11">
        <v>122060.26130782676</v>
      </c>
    </row>
    <row r="382" spans="2:4" x14ac:dyDescent="0.3">
      <c r="B382" s="11">
        <f t="shared" si="7"/>
        <v>380</v>
      </c>
      <c r="C382" s="11">
        <v>75400.898000754984</v>
      </c>
      <c r="D382" s="11">
        <v>75400.898000754984</v>
      </c>
    </row>
    <row r="383" spans="2:4" x14ac:dyDescent="0.3">
      <c r="B383" s="11">
        <f t="shared" si="7"/>
        <v>381</v>
      </c>
      <c r="C383" s="11">
        <v>155909.50518001462</v>
      </c>
      <c r="D383" s="11">
        <v>155909.50518001462</v>
      </c>
    </row>
    <row r="384" spans="2:4" x14ac:dyDescent="0.3">
      <c r="B384" s="11">
        <f t="shared" si="7"/>
        <v>382</v>
      </c>
      <c r="C384" s="11">
        <v>133684.32360547007</v>
      </c>
      <c r="D384" s="11">
        <v>133771.96473132234</v>
      </c>
    </row>
    <row r="385" spans="2:4" x14ac:dyDescent="0.3">
      <c r="B385" s="11">
        <f t="shared" si="7"/>
        <v>383</v>
      </c>
      <c r="C385" s="11">
        <v>77609.260096704442</v>
      </c>
      <c r="D385" s="11">
        <v>77609.260096704442</v>
      </c>
    </row>
    <row r="386" spans="2:4" x14ac:dyDescent="0.3">
      <c r="B386" s="11">
        <f t="shared" si="7"/>
        <v>384</v>
      </c>
      <c r="C386" s="11">
        <v>104461.50857872021</v>
      </c>
      <c r="D386" s="11">
        <v>104461.50857872021</v>
      </c>
    </row>
    <row r="387" spans="2:4" x14ac:dyDescent="0.3">
      <c r="B387" s="11">
        <f t="shared" si="7"/>
        <v>385</v>
      </c>
      <c r="C387" s="11">
        <v>101364.83367882522</v>
      </c>
      <c r="D387" s="11">
        <v>101364.83367882522</v>
      </c>
    </row>
    <row r="388" spans="2:4" x14ac:dyDescent="0.3">
      <c r="B388" s="11">
        <f t="shared" si="7"/>
        <v>386</v>
      </c>
      <c r="C388" s="11">
        <v>85042.522948234968</v>
      </c>
      <c r="D388" s="11">
        <v>85042.522948234968</v>
      </c>
    </row>
    <row r="389" spans="2:4" x14ac:dyDescent="0.3">
      <c r="B389" s="11">
        <f t="shared" ref="B389:B452" si="8">B388+1</f>
        <v>387</v>
      </c>
      <c r="C389" s="11">
        <v>95065.351255770613</v>
      </c>
      <c r="D389" s="11">
        <v>95065.351255770613</v>
      </c>
    </row>
    <row r="390" spans="2:4" x14ac:dyDescent="0.3">
      <c r="B390" s="11">
        <f t="shared" si="8"/>
        <v>388</v>
      </c>
      <c r="C390" s="11">
        <v>104032.87912878316</v>
      </c>
      <c r="D390" s="11">
        <v>104032.87912878316</v>
      </c>
    </row>
    <row r="391" spans="2:4" x14ac:dyDescent="0.3">
      <c r="B391" s="11">
        <f t="shared" si="8"/>
        <v>389</v>
      </c>
      <c r="C391" s="11">
        <v>98848.397144921226</v>
      </c>
      <c r="D391" s="11">
        <v>98609.611609328174</v>
      </c>
    </row>
    <row r="392" spans="2:4" x14ac:dyDescent="0.3">
      <c r="B392" s="11">
        <f t="shared" si="8"/>
        <v>390</v>
      </c>
      <c r="C392" s="11">
        <v>134134.97384190594</v>
      </c>
      <c r="D392" s="11">
        <v>134712.07169502368</v>
      </c>
    </row>
    <row r="393" spans="2:4" x14ac:dyDescent="0.3">
      <c r="B393" s="11">
        <f t="shared" si="8"/>
        <v>391</v>
      </c>
      <c r="C393" s="11">
        <v>44667.353735890989</v>
      </c>
      <c r="D393" s="11">
        <v>44667.353735890989</v>
      </c>
    </row>
    <row r="394" spans="2:4" x14ac:dyDescent="0.3">
      <c r="B394" s="11">
        <f t="shared" si="8"/>
        <v>392</v>
      </c>
      <c r="C394" s="11">
        <v>122976.81983446583</v>
      </c>
      <c r="D394" s="11">
        <v>122976.81983446583</v>
      </c>
    </row>
    <row r="395" spans="2:4" x14ac:dyDescent="0.3">
      <c r="B395" s="11">
        <f t="shared" si="8"/>
        <v>393</v>
      </c>
      <c r="C395" s="11">
        <v>126477.50232657586</v>
      </c>
      <c r="D395" s="11">
        <v>126477.50232657586</v>
      </c>
    </row>
    <row r="396" spans="2:4" x14ac:dyDescent="0.3">
      <c r="B396" s="11">
        <f t="shared" si="8"/>
        <v>394</v>
      </c>
      <c r="C396" s="11">
        <v>128820.45279612775</v>
      </c>
      <c r="D396" s="11">
        <v>128820.45279612775</v>
      </c>
    </row>
    <row r="397" spans="2:4" x14ac:dyDescent="0.3">
      <c r="B397" s="11">
        <f t="shared" si="8"/>
        <v>395</v>
      </c>
      <c r="C397" s="11">
        <v>123223.25410585258</v>
      </c>
      <c r="D397" s="11">
        <v>123223.25410585258</v>
      </c>
    </row>
    <row r="398" spans="2:4" x14ac:dyDescent="0.3">
      <c r="B398" s="11">
        <f t="shared" si="8"/>
        <v>396</v>
      </c>
      <c r="C398" s="11">
        <v>88222.879738453761</v>
      </c>
      <c r="D398" s="11">
        <v>88222.879738453761</v>
      </c>
    </row>
    <row r="399" spans="2:4" x14ac:dyDescent="0.3">
      <c r="B399" s="11">
        <f t="shared" si="8"/>
        <v>397</v>
      </c>
      <c r="C399" s="11">
        <v>168231.2370990323</v>
      </c>
      <c r="D399" s="11">
        <v>168231.2370990323</v>
      </c>
    </row>
    <row r="400" spans="2:4" x14ac:dyDescent="0.3">
      <c r="B400" s="11">
        <f t="shared" si="8"/>
        <v>398</v>
      </c>
      <c r="C400" s="11">
        <v>124288.88016284311</v>
      </c>
      <c r="D400" s="11">
        <v>124288.88016284311</v>
      </c>
    </row>
    <row r="401" spans="2:4" x14ac:dyDescent="0.3">
      <c r="B401" s="11">
        <f t="shared" si="8"/>
        <v>399</v>
      </c>
      <c r="C401" s="11">
        <v>137489.16128145313</v>
      </c>
      <c r="D401" s="11">
        <v>137489.16128145313</v>
      </c>
    </row>
    <row r="402" spans="2:4" x14ac:dyDescent="0.3">
      <c r="B402" s="11">
        <f t="shared" si="8"/>
        <v>400</v>
      </c>
      <c r="C402" s="11">
        <v>113274.47049162305</v>
      </c>
      <c r="D402" s="11">
        <v>113274.47049162305</v>
      </c>
    </row>
    <row r="403" spans="2:4" x14ac:dyDescent="0.3">
      <c r="B403" s="11">
        <f t="shared" si="8"/>
        <v>401</v>
      </c>
      <c r="C403" s="11">
        <v>155475.80434362916</v>
      </c>
      <c r="D403" s="11">
        <v>155475.80434362916</v>
      </c>
    </row>
    <row r="404" spans="2:4" x14ac:dyDescent="0.3">
      <c r="B404" s="11">
        <f t="shared" si="8"/>
        <v>402</v>
      </c>
      <c r="C404" s="11">
        <v>92723.439953239475</v>
      </c>
      <c r="D404" s="11">
        <v>92723.439953239475</v>
      </c>
    </row>
    <row r="405" spans="2:4" x14ac:dyDescent="0.3">
      <c r="B405" s="11">
        <f t="shared" si="8"/>
        <v>403</v>
      </c>
      <c r="C405" s="11">
        <v>70641.284703308542</v>
      </c>
      <c r="D405" s="11">
        <v>70641.284703308542</v>
      </c>
    </row>
    <row r="406" spans="2:4" x14ac:dyDescent="0.3">
      <c r="B406" s="11">
        <f t="shared" si="8"/>
        <v>404</v>
      </c>
      <c r="C406" s="11">
        <v>143830.12839307234</v>
      </c>
      <c r="D406" s="11">
        <v>143830.12839307234</v>
      </c>
    </row>
    <row r="407" spans="2:4" x14ac:dyDescent="0.3">
      <c r="B407" s="11">
        <f t="shared" si="8"/>
        <v>405</v>
      </c>
      <c r="C407" s="11">
        <v>88074.062864328575</v>
      </c>
      <c r="D407" s="11">
        <v>88074.062864328575</v>
      </c>
    </row>
    <row r="408" spans="2:4" x14ac:dyDescent="0.3">
      <c r="B408" s="11">
        <f t="shared" si="8"/>
        <v>406</v>
      </c>
      <c r="C408" s="11">
        <v>175932.18658684811</v>
      </c>
      <c r="D408" s="11">
        <v>175932.18658684811</v>
      </c>
    </row>
    <row r="409" spans="2:4" x14ac:dyDescent="0.3">
      <c r="B409" s="11">
        <f t="shared" si="8"/>
        <v>407</v>
      </c>
      <c r="C409" s="11">
        <v>88179.725353907008</v>
      </c>
      <c r="D409" s="11">
        <v>88179.725353907008</v>
      </c>
    </row>
    <row r="410" spans="2:4" x14ac:dyDescent="0.3">
      <c r="B410" s="11">
        <f t="shared" si="8"/>
        <v>408</v>
      </c>
      <c r="C410" s="11">
        <v>105189.56561478271</v>
      </c>
      <c r="D410" s="11">
        <v>102836.43912237138</v>
      </c>
    </row>
    <row r="411" spans="2:4" x14ac:dyDescent="0.3">
      <c r="B411" s="11">
        <f t="shared" si="8"/>
        <v>409</v>
      </c>
      <c r="C411" s="11">
        <v>94503.123006146154</v>
      </c>
      <c r="D411" s="11">
        <v>94503.123006146154</v>
      </c>
    </row>
    <row r="412" spans="2:4" x14ac:dyDescent="0.3">
      <c r="B412" s="11">
        <f t="shared" si="8"/>
        <v>410</v>
      </c>
      <c r="C412" s="11">
        <v>102677.43299951777</v>
      </c>
      <c r="D412" s="11">
        <v>102677.43299951777</v>
      </c>
    </row>
    <row r="413" spans="2:4" x14ac:dyDescent="0.3">
      <c r="B413" s="11">
        <f t="shared" si="8"/>
        <v>411</v>
      </c>
      <c r="C413" s="11">
        <v>109974.90453290763</v>
      </c>
      <c r="D413" s="11">
        <v>109974.90453290763</v>
      </c>
    </row>
    <row r="414" spans="2:4" x14ac:dyDescent="0.3">
      <c r="B414" s="11">
        <f t="shared" si="8"/>
        <v>412</v>
      </c>
      <c r="C414" s="11">
        <v>80777.450164347683</v>
      </c>
      <c r="D414" s="11">
        <v>80777.450164347683</v>
      </c>
    </row>
    <row r="415" spans="2:4" x14ac:dyDescent="0.3">
      <c r="B415" s="11">
        <f t="shared" si="8"/>
        <v>413</v>
      </c>
      <c r="C415" s="11">
        <v>132279.40021708311</v>
      </c>
      <c r="D415" s="11">
        <v>132279.40021708311</v>
      </c>
    </row>
    <row r="416" spans="2:4" x14ac:dyDescent="0.3">
      <c r="B416" s="11">
        <f t="shared" si="8"/>
        <v>414</v>
      </c>
      <c r="C416" s="11">
        <v>68579.085318079728</v>
      </c>
      <c r="D416" s="11">
        <v>68579.085318079728</v>
      </c>
    </row>
    <row r="417" spans="2:4" x14ac:dyDescent="0.3">
      <c r="B417" s="11">
        <f t="shared" si="8"/>
        <v>415</v>
      </c>
      <c r="C417" s="11">
        <v>98931.028669814565</v>
      </c>
      <c r="D417" s="11">
        <v>104674.62244849843</v>
      </c>
    </row>
    <row r="418" spans="2:4" x14ac:dyDescent="0.3">
      <c r="B418" s="11">
        <f t="shared" si="8"/>
        <v>416</v>
      </c>
      <c r="C418" s="11">
        <v>120526.08960163369</v>
      </c>
      <c r="D418" s="11">
        <v>120526.08960163369</v>
      </c>
    </row>
    <row r="419" spans="2:4" x14ac:dyDescent="0.3">
      <c r="B419" s="11">
        <f t="shared" si="8"/>
        <v>417</v>
      </c>
      <c r="C419" s="11">
        <v>95772.337597584454</v>
      </c>
      <c r="D419" s="11">
        <v>95772.337597584454</v>
      </c>
    </row>
    <row r="420" spans="2:4" x14ac:dyDescent="0.3">
      <c r="B420" s="11">
        <f t="shared" si="8"/>
        <v>418</v>
      </c>
      <c r="C420" s="11">
        <v>227716.46286920729</v>
      </c>
      <c r="D420" s="11">
        <v>227716.46286920729</v>
      </c>
    </row>
    <row r="421" spans="2:4" x14ac:dyDescent="0.3">
      <c r="B421" s="11">
        <f t="shared" si="8"/>
        <v>419</v>
      </c>
      <c r="C421" s="11">
        <v>72251.265465079341</v>
      </c>
      <c r="D421" s="11">
        <v>70824.30286865629</v>
      </c>
    </row>
    <row r="422" spans="2:4" x14ac:dyDescent="0.3">
      <c r="B422" s="11">
        <f t="shared" si="8"/>
        <v>420</v>
      </c>
      <c r="C422" s="11">
        <v>84405.14956169574</v>
      </c>
      <c r="D422" s="11">
        <v>84405.14956169574</v>
      </c>
    </row>
    <row r="423" spans="2:4" x14ac:dyDescent="0.3">
      <c r="B423" s="11">
        <f t="shared" si="8"/>
        <v>421</v>
      </c>
      <c r="C423" s="11">
        <v>96783.387477262979</v>
      </c>
      <c r="D423" s="11">
        <v>96783.387477262979</v>
      </c>
    </row>
    <row r="424" spans="2:4" x14ac:dyDescent="0.3">
      <c r="B424" s="11">
        <f t="shared" si="8"/>
        <v>422</v>
      </c>
      <c r="C424" s="11">
        <v>56655.802694004873</v>
      </c>
      <c r="D424" s="11">
        <v>56655.802694004873</v>
      </c>
    </row>
    <row r="425" spans="2:4" x14ac:dyDescent="0.3">
      <c r="B425" s="11">
        <f t="shared" si="8"/>
        <v>423</v>
      </c>
      <c r="C425" s="11">
        <v>145224.72188396609</v>
      </c>
      <c r="D425" s="11">
        <v>145224.72188396609</v>
      </c>
    </row>
    <row r="426" spans="2:4" x14ac:dyDescent="0.3">
      <c r="B426" s="11">
        <f t="shared" si="8"/>
        <v>424</v>
      </c>
      <c r="C426" s="11">
        <v>91837.544768160878</v>
      </c>
      <c r="D426" s="11">
        <v>89018.333206119351</v>
      </c>
    </row>
    <row r="427" spans="2:4" x14ac:dyDescent="0.3">
      <c r="B427" s="11">
        <f t="shared" si="8"/>
        <v>425</v>
      </c>
      <c r="C427" s="11">
        <v>94942.601839440773</v>
      </c>
      <c r="D427" s="11">
        <v>94942.601839440773</v>
      </c>
    </row>
    <row r="428" spans="2:4" x14ac:dyDescent="0.3">
      <c r="B428" s="11">
        <f t="shared" si="8"/>
        <v>426</v>
      </c>
      <c r="C428" s="11">
        <v>54733.912793474425</v>
      </c>
      <c r="D428" s="11">
        <v>54733.912793474425</v>
      </c>
    </row>
    <row r="429" spans="2:4" x14ac:dyDescent="0.3">
      <c r="B429" s="11">
        <f t="shared" si="8"/>
        <v>427</v>
      </c>
      <c r="C429" s="11">
        <v>97511.709700092324</v>
      </c>
      <c r="D429" s="11">
        <v>97511.709700092324</v>
      </c>
    </row>
    <row r="430" spans="2:4" x14ac:dyDescent="0.3">
      <c r="B430" s="11">
        <f t="shared" si="8"/>
        <v>428</v>
      </c>
      <c r="C430" s="11">
        <v>111325.98431539284</v>
      </c>
      <c r="D430" s="11">
        <v>111325.98431539284</v>
      </c>
    </row>
    <row r="431" spans="2:4" x14ac:dyDescent="0.3">
      <c r="B431" s="11">
        <f t="shared" si="8"/>
        <v>429</v>
      </c>
      <c r="C431" s="11">
        <v>207488.27898365803</v>
      </c>
      <c r="D431" s="11">
        <v>207488.27898365803</v>
      </c>
    </row>
    <row r="432" spans="2:4" x14ac:dyDescent="0.3">
      <c r="B432" s="11">
        <f t="shared" si="8"/>
        <v>430</v>
      </c>
      <c r="C432" s="11">
        <v>83721.462001652457</v>
      </c>
      <c r="D432" s="11">
        <v>83721.462001652457</v>
      </c>
    </row>
    <row r="433" spans="2:4" x14ac:dyDescent="0.3">
      <c r="B433" s="11">
        <f t="shared" si="8"/>
        <v>431</v>
      </c>
      <c r="C433" s="11">
        <v>59007.409937018332</v>
      </c>
      <c r="D433" s="11">
        <v>59007.409937018332</v>
      </c>
    </row>
    <row r="434" spans="2:4" x14ac:dyDescent="0.3">
      <c r="B434" s="11">
        <f t="shared" si="8"/>
        <v>432</v>
      </c>
      <c r="C434" s="11">
        <v>97990.514217175471</v>
      </c>
      <c r="D434" s="11">
        <v>97990.514217175471</v>
      </c>
    </row>
    <row r="435" spans="2:4" x14ac:dyDescent="0.3">
      <c r="B435" s="11">
        <f t="shared" si="8"/>
        <v>433</v>
      </c>
      <c r="C435" s="11">
        <v>122638.37942794824</v>
      </c>
      <c r="D435" s="11">
        <v>122638.37942794824</v>
      </c>
    </row>
    <row r="436" spans="2:4" x14ac:dyDescent="0.3">
      <c r="B436" s="11">
        <f t="shared" si="8"/>
        <v>434</v>
      </c>
      <c r="C436" s="11">
        <v>67962.704305239269</v>
      </c>
      <c r="D436" s="11">
        <v>67962.704305239269</v>
      </c>
    </row>
    <row r="437" spans="2:4" x14ac:dyDescent="0.3">
      <c r="B437" s="11">
        <f t="shared" si="8"/>
        <v>435</v>
      </c>
      <c r="C437" s="11">
        <v>100802.54946077957</v>
      </c>
      <c r="D437" s="11">
        <v>100802.54946077957</v>
      </c>
    </row>
    <row r="438" spans="2:4" x14ac:dyDescent="0.3">
      <c r="B438" s="11">
        <f t="shared" si="8"/>
        <v>436</v>
      </c>
      <c r="C438" s="11">
        <v>121924.81630663965</v>
      </c>
      <c r="D438" s="11">
        <v>121924.81630663965</v>
      </c>
    </row>
    <row r="439" spans="2:4" x14ac:dyDescent="0.3">
      <c r="B439" s="11">
        <f t="shared" si="8"/>
        <v>437</v>
      </c>
      <c r="C439" s="11">
        <v>100516.58963576329</v>
      </c>
      <c r="D439" s="11">
        <v>100516.58963576329</v>
      </c>
    </row>
    <row r="440" spans="2:4" x14ac:dyDescent="0.3">
      <c r="B440" s="11">
        <f t="shared" si="8"/>
        <v>438</v>
      </c>
      <c r="C440" s="11">
        <v>64203.16615670341</v>
      </c>
      <c r="D440" s="11">
        <v>60575.358902274136</v>
      </c>
    </row>
    <row r="441" spans="2:4" x14ac:dyDescent="0.3">
      <c r="B441" s="11">
        <f t="shared" si="8"/>
        <v>439</v>
      </c>
      <c r="C441" s="11">
        <v>137636.85823499039</v>
      </c>
      <c r="D441" s="11">
        <v>137636.85823499039</v>
      </c>
    </row>
    <row r="442" spans="2:4" x14ac:dyDescent="0.3">
      <c r="B442" s="11">
        <f t="shared" si="8"/>
        <v>440</v>
      </c>
      <c r="C442" s="11">
        <v>134900.06718014664</v>
      </c>
      <c r="D442" s="11">
        <v>136179.48564022794</v>
      </c>
    </row>
    <row r="443" spans="2:4" x14ac:dyDescent="0.3">
      <c r="B443" s="11">
        <f t="shared" si="8"/>
        <v>441</v>
      </c>
      <c r="C443" s="11">
        <v>111409.9192587677</v>
      </c>
      <c r="D443" s="11">
        <v>111409.9192587677</v>
      </c>
    </row>
    <row r="444" spans="2:4" x14ac:dyDescent="0.3">
      <c r="B444" s="11">
        <f t="shared" si="8"/>
        <v>442</v>
      </c>
      <c r="C444" s="11">
        <v>152683.37606044882</v>
      </c>
      <c r="D444" s="11">
        <v>152683.37606044882</v>
      </c>
    </row>
    <row r="445" spans="2:4" x14ac:dyDescent="0.3">
      <c r="B445" s="11">
        <f t="shared" si="8"/>
        <v>443</v>
      </c>
      <c r="C445" s="11">
        <v>98345.233940803184</v>
      </c>
      <c r="D445" s="11">
        <v>98345.233940803184</v>
      </c>
    </row>
    <row r="446" spans="2:4" x14ac:dyDescent="0.3">
      <c r="B446" s="11">
        <f t="shared" si="8"/>
        <v>444</v>
      </c>
      <c r="C446" s="11">
        <v>116451.99329794718</v>
      </c>
      <c r="D446" s="11">
        <v>116451.99329794718</v>
      </c>
    </row>
    <row r="447" spans="2:4" x14ac:dyDescent="0.3">
      <c r="B447" s="11">
        <f t="shared" si="8"/>
        <v>445</v>
      </c>
      <c r="C447" s="11">
        <v>97146.733746026628</v>
      </c>
      <c r="D447" s="11">
        <v>97146.733746026628</v>
      </c>
    </row>
    <row r="448" spans="2:4" x14ac:dyDescent="0.3">
      <c r="B448" s="11">
        <f t="shared" si="8"/>
        <v>446</v>
      </c>
      <c r="C448" s="11">
        <v>107909.05910110088</v>
      </c>
      <c r="D448" s="11">
        <v>107909.05910110088</v>
      </c>
    </row>
    <row r="449" spans="2:4" x14ac:dyDescent="0.3">
      <c r="B449" s="11">
        <f t="shared" si="8"/>
        <v>447</v>
      </c>
      <c r="C449" s="11">
        <v>106915.66611715713</v>
      </c>
      <c r="D449" s="11">
        <v>106915.66611715713</v>
      </c>
    </row>
    <row r="450" spans="2:4" x14ac:dyDescent="0.3">
      <c r="B450" s="11">
        <f t="shared" si="8"/>
        <v>448</v>
      </c>
      <c r="C450" s="11">
        <v>78509.519712770983</v>
      </c>
      <c r="D450" s="11">
        <v>78509.519712770983</v>
      </c>
    </row>
    <row r="451" spans="2:4" x14ac:dyDescent="0.3">
      <c r="B451" s="11">
        <f t="shared" si="8"/>
        <v>449</v>
      </c>
      <c r="C451" s="11">
        <v>65494.322592093609</v>
      </c>
      <c r="D451" s="11">
        <v>65494.322592093609</v>
      </c>
    </row>
    <row r="452" spans="2:4" x14ac:dyDescent="0.3">
      <c r="B452" s="11">
        <f t="shared" si="8"/>
        <v>450</v>
      </c>
      <c r="C452" s="11">
        <v>53451.249988631709</v>
      </c>
      <c r="D452" s="11">
        <v>53451.249988631709</v>
      </c>
    </row>
    <row r="453" spans="2:4" x14ac:dyDescent="0.3">
      <c r="B453" s="11">
        <f t="shared" ref="B453:B516" si="9">B452+1</f>
        <v>451</v>
      </c>
      <c r="C453" s="11">
        <v>79346.745489041466</v>
      </c>
      <c r="D453" s="11">
        <v>79346.745489041466</v>
      </c>
    </row>
    <row r="454" spans="2:4" x14ac:dyDescent="0.3">
      <c r="B454" s="11">
        <f t="shared" si="9"/>
        <v>452</v>
      </c>
      <c r="C454" s="11">
        <v>127638.99625732101</v>
      </c>
      <c r="D454" s="11">
        <v>127638.99625732101</v>
      </c>
    </row>
    <row r="455" spans="2:4" x14ac:dyDescent="0.3">
      <c r="B455" s="11">
        <f t="shared" si="9"/>
        <v>453</v>
      </c>
      <c r="C455" s="11">
        <v>103383.63424109148</v>
      </c>
      <c r="D455" s="11">
        <v>103383.63424109148</v>
      </c>
    </row>
    <row r="456" spans="2:4" x14ac:dyDescent="0.3">
      <c r="B456" s="11">
        <f t="shared" si="9"/>
        <v>454</v>
      </c>
      <c r="C456" s="11">
        <v>118491.47864302204</v>
      </c>
      <c r="D456" s="11">
        <v>118491.47864302204</v>
      </c>
    </row>
    <row r="457" spans="2:4" x14ac:dyDescent="0.3">
      <c r="B457" s="11">
        <f t="shared" si="9"/>
        <v>455</v>
      </c>
      <c r="C457" s="11">
        <v>136135.27116984691</v>
      </c>
      <c r="D457" s="11">
        <v>136135.27116984691</v>
      </c>
    </row>
    <row r="458" spans="2:4" x14ac:dyDescent="0.3">
      <c r="B458" s="11">
        <f t="shared" si="9"/>
        <v>456</v>
      </c>
      <c r="C458" s="11">
        <v>117463.64107399697</v>
      </c>
      <c r="D458" s="11">
        <v>117463.64107399697</v>
      </c>
    </row>
    <row r="459" spans="2:4" x14ac:dyDescent="0.3">
      <c r="B459" s="11">
        <f t="shared" si="9"/>
        <v>457</v>
      </c>
      <c r="C459" s="11">
        <v>157435.93950417728</v>
      </c>
      <c r="D459" s="11">
        <v>158082.33679991329</v>
      </c>
    </row>
    <row r="460" spans="2:4" x14ac:dyDescent="0.3">
      <c r="B460" s="11">
        <f t="shared" si="9"/>
        <v>458</v>
      </c>
      <c r="C460" s="11">
        <v>140248.28091699741</v>
      </c>
      <c r="D460" s="11">
        <v>140248.28091699741</v>
      </c>
    </row>
    <row r="461" spans="2:4" x14ac:dyDescent="0.3">
      <c r="B461" s="11">
        <f t="shared" si="9"/>
        <v>459</v>
      </c>
      <c r="C461" s="11">
        <v>102349.72748231119</v>
      </c>
      <c r="D461" s="11">
        <v>102349.72748231119</v>
      </c>
    </row>
    <row r="462" spans="2:4" x14ac:dyDescent="0.3">
      <c r="B462" s="11">
        <f t="shared" si="9"/>
        <v>460</v>
      </c>
      <c r="C462" s="11">
        <v>92278.805398109194</v>
      </c>
      <c r="D462" s="11">
        <v>92278.805398109194</v>
      </c>
    </row>
    <row r="463" spans="2:4" x14ac:dyDescent="0.3">
      <c r="B463" s="11">
        <f t="shared" si="9"/>
        <v>461</v>
      </c>
      <c r="C463" s="11">
        <v>68798.613197794068</v>
      </c>
      <c r="D463" s="11">
        <v>68798.613197794068</v>
      </c>
    </row>
    <row r="464" spans="2:4" x14ac:dyDescent="0.3">
      <c r="B464" s="11">
        <f t="shared" si="9"/>
        <v>462</v>
      </c>
      <c r="C464" s="11">
        <v>70335.321877871902</v>
      </c>
      <c r="D464" s="11">
        <v>70335.321877871902</v>
      </c>
    </row>
    <row r="465" spans="2:4" x14ac:dyDescent="0.3">
      <c r="B465" s="11">
        <f t="shared" si="9"/>
        <v>463</v>
      </c>
      <c r="C465" s="11">
        <v>137354.19365125379</v>
      </c>
      <c r="D465" s="11">
        <v>137354.19365125379</v>
      </c>
    </row>
    <row r="466" spans="2:4" x14ac:dyDescent="0.3">
      <c r="B466" s="11">
        <f t="shared" si="9"/>
        <v>464</v>
      </c>
      <c r="C466" s="11">
        <v>98943.398553632884</v>
      </c>
      <c r="D466" s="11">
        <v>98943.398553632884</v>
      </c>
    </row>
    <row r="467" spans="2:4" x14ac:dyDescent="0.3">
      <c r="B467" s="11">
        <f t="shared" si="9"/>
        <v>465</v>
      </c>
      <c r="C467" s="11">
        <v>90173.338138139006</v>
      </c>
      <c r="D467" s="11">
        <v>90173.338138139006</v>
      </c>
    </row>
    <row r="468" spans="2:4" x14ac:dyDescent="0.3">
      <c r="B468" s="11">
        <f t="shared" si="9"/>
        <v>466</v>
      </c>
      <c r="C468" s="11">
        <v>75756.74976175894</v>
      </c>
      <c r="D468" s="11">
        <v>75756.74976175894</v>
      </c>
    </row>
    <row r="469" spans="2:4" x14ac:dyDescent="0.3">
      <c r="B469" s="11">
        <f t="shared" si="9"/>
        <v>467</v>
      </c>
      <c r="C469" s="11">
        <v>51436.140304695269</v>
      </c>
      <c r="D469" s="11">
        <v>51436.140304695269</v>
      </c>
    </row>
    <row r="470" spans="2:4" x14ac:dyDescent="0.3">
      <c r="B470" s="11">
        <f t="shared" si="9"/>
        <v>468</v>
      </c>
      <c r="C470" s="11">
        <v>77413.270801197665</v>
      </c>
      <c r="D470" s="11">
        <v>77413.270801197665</v>
      </c>
    </row>
    <row r="471" spans="2:4" x14ac:dyDescent="0.3">
      <c r="B471" s="11">
        <f t="shared" si="9"/>
        <v>469</v>
      </c>
      <c r="C471" s="11">
        <v>220592.61882954033</v>
      </c>
      <c r="D471" s="11">
        <v>220592.61882954033</v>
      </c>
    </row>
    <row r="472" spans="2:4" x14ac:dyDescent="0.3">
      <c r="B472" s="11">
        <f t="shared" si="9"/>
        <v>470</v>
      </c>
      <c r="C472" s="11">
        <v>51779.331473245853</v>
      </c>
      <c r="D472" s="11">
        <v>51779.331473245853</v>
      </c>
    </row>
    <row r="473" spans="2:4" x14ac:dyDescent="0.3">
      <c r="B473" s="11">
        <f t="shared" si="9"/>
        <v>471</v>
      </c>
      <c r="C473" s="11">
        <v>91534.411584724323</v>
      </c>
      <c r="D473" s="11">
        <v>91534.411584724323</v>
      </c>
    </row>
    <row r="474" spans="2:4" x14ac:dyDescent="0.3">
      <c r="B474" s="11">
        <f t="shared" si="9"/>
        <v>472</v>
      </c>
      <c r="C474" s="11">
        <v>102659.03682965481</v>
      </c>
      <c r="D474" s="11">
        <v>102659.03682965481</v>
      </c>
    </row>
    <row r="475" spans="2:4" x14ac:dyDescent="0.3">
      <c r="B475" s="11">
        <f t="shared" si="9"/>
        <v>473</v>
      </c>
      <c r="C475" s="11">
        <v>125604.61177335563</v>
      </c>
      <c r="D475" s="11">
        <v>125604.61177335563</v>
      </c>
    </row>
    <row r="476" spans="2:4" x14ac:dyDescent="0.3">
      <c r="B476" s="11">
        <f t="shared" si="9"/>
        <v>474</v>
      </c>
      <c r="C476" s="11">
        <v>193084.1052125709</v>
      </c>
      <c r="D476" s="11">
        <v>193084.1052125709</v>
      </c>
    </row>
    <row r="477" spans="2:4" x14ac:dyDescent="0.3">
      <c r="B477" s="11">
        <f t="shared" si="9"/>
        <v>475</v>
      </c>
      <c r="C477" s="11">
        <v>66271.537870281521</v>
      </c>
      <c r="D477" s="11">
        <v>66271.537870281521</v>
      </c>
    </row>
    <row r="478" spans="2:4" x14ac:dyDescent="0.3">
      <c r="B478" s="11">
        <f t="shared" si="9"/>
        <v>476</v>
      </c>
      <c r="C478" s="11">
        <v>87984.260171554881</v>
      </c>
      <c r="D478" s="11">
        <v>87984.260171554881</v>
      </c>
    </row>
    <row r="479" spans="2:4" x14ac:dyDescent="0.3">
      <c r="B479" s="11">
        <f t="shared" si="9"/>
        <v>477</v>
      </c>
      <c r="C479" s="11">
        <v>113148.18393939064</v>
      </c>
      <c r="D479" s="11">
        <v>113148.18393939064</v>
      </c>
    </row>
    <row r="480" spans="2:4" x14ac:dyDescent="0.3">
      <c r="B480" s="11">
        <f t="shared" si="9"/>
        <v>478</v>
      </c>
      <c r="C480" s="11">
        <v>82175.033385328992</v>
      </c>
      <c r="D480" s="11">
        <v>82175.033385328992</v>
      </c>
    </row>
    <row r="481" spans="2:4" x14ac:dyDescent="0.3">
      <c r="B481" s="11">
        <f t="shared" si="9"/>
        <v>479</v>
      </c>
      <c r="C481" s="11">
        <v>147307.04657034861</v>
      </c>
      <c r="D481" s="11">
        <v>149690.19806428548</v>
      </c>
    </row>
    <row r="482" spans="2:4" x14ac:dyDescent="0.3">
      <c r="B482" s="11">
        <f t="shared" si="9"/>
        <v>480</v>
      </c>
      <c r="C482" s="11">
        <v>58322.618978796047</v>
      </c>
      <c r="D482" s="11">
        <v>58322.618978796047</v>
      </c>
    </row>
    <row r="483" spans="2:4" x14ac:dyDescent="0.3">
      <c r="B483" s="11">
        <f t="shared" si="9"/>
        <v>481</v>
      </c>
      <c r="C483" s="11">
        <v>104348.94779639418</v>
      </c>
      <c r="D483" s="11">
        <v>104348.94779639418</v>
      </c>
    </row>
    <row r="484" spans="2:4" x14ac:dyDescent="0.3">
      <c r="B484" s="11">
        <f t="shared" si="9"/>
        <v>482</v>
      </c>
      <c r="C484" s="11">
        <v>68481.828651810793</v>
      </c>
      <c r="D484" s="11">
        <v>64087.918529527902</v>
      </c>
    </row>
    <row r="485" spans="2:4" x14ac:dyDescent="0.3">
      <c r="B485" s="11">
        <f t="shared" si="9"/>
        <v>483</v>
      </c>
      <c r="C485" s="11">
        <v>124027.11251655607</v>
      </c>
      <c r="D485" s="11">
        <v>124027.11251655607</v>
      </c>
    </row>
    <row r="486" spans="2:4" x14ac:dyDescent="0.3">
      <c r="B486" s="11">
        <f t="shared" si="9"/>
        <v>484</v>
      </c>
      <c r="C486" s="11">
        <v>131774.57621654088</v>
      </c>
      <c r="D486" s="11">
        <v>131774.57621654088</v>
      </c>
    </row>
    <row r="487" spans="2:4" x14ac:dyDescent="0.3">
      <c r="B487" s="11">
        <f t="shared" si="9"/>
        <v>485</v>
      </c>
      <c r="C487" s="11">
        <v>112540.68532203246</v>
      </c>
      <c r="D487" s="11">
        <v>112540.68532203246</v>
      </c>
    </row>
    <row r="488" spans="2:4" x14ac:dyDescent="0.3">
      <c r="B488" s="11">
        <f t="shared" si="9"/>
        <v>486</v>
      </c>
      <c r="C488" s="11">
        <v>139402.80124787395</v>
      </c>
      <c r="D488" s="11">
        <v>139402.80124787395</v>
      </c>
    </row>
    <row r="489" spans="2:4" x14ac:dyDescent="0.3">
      <c r="B489" s="11">
        <f t="shared" si="9"/>
        <v>487</v>
      </c>
      <c r="C489" s="11">
        <v>105439.11820071965</v>
      </c>
      <c r="D489" s="11">
        <v>105439.11820071965</v>
      </c>
    </row>
    <row r="490" spans="2:4" x14ac:dyDescent="0.3">
      <c r="B490" s="11">
        <f t="shared" si="9"/>
        <v>488</v>
      </c>
      <c r="C490" s="11">
        <v>66368.647855293661</v>
      </c>
      <c r="D490" s="11">
        <v>66256.793531260861</v>
      </c>
    </row>
    <row r="491" spans="2:4" x14ac:dyDescent="0.3">
      <c r="B491" s="11">
        <f t="shared" si="9"/>
        <v>489</v>
      </c>
      <c r="C491" s="11">
        <v>149338.57040799572</v>
      </c>
      <c r="D491" s="11">
        <v>149338.57040799572</v>
      </c>
    </row>
    <row r="492" spans="2:4" x14ac:dyDescent="0.3">
      <c r="B492" s="11">
        <f t="shared" si="9"/>
        <v>490</v>
      </c>
      <c r="C492" s="11">
        <v>140916.88167829622</v>
      </c>
      <c r="D492" s="11">
        <v>140916.88167829622</v>
      </c>
    </row>
    <row r="493" spans="2:4" x14ac:dyDescent="0.3">
      <c r="B493" s="11">
        <f t="shared" si="9"/>
        <v>491</v>
      </c>
      <c r="C493" s="11">
        <v>113807.078786974</v>
      </c>
      <c r="D493" s="11">
        <v>113807.078786974</v>
      </c>
    </row>
    <row r="494" spans="2:4" x14ac:dyDescent="0.3">
      <c r="B494" s="11">
        <f t="shared" si="9"/>
        <v>492</v>
      </c>
      <c r="C494" s="11">
        <v>112047.33019740337</v>
      </c>
      <c r="D494" s="11">
        <v>112047.33019740337</v>
      </c>
    </row>
    <row r="495" spans="2:4" x14ac:dyDescent="0.3">
      <c r="B495" s="11">
        <f t="shared" si="9"/>
        <v>493</v>
      </c>
      <c r="C495" s="11">
        <v>67915.254282227193</v>
      </c>
      <c r="D495" s="11">
        <v>67910.566938513148</v>
      </c>
    </row>
    <row r="496" spans="2:4" x14ac:dyDescent="0.3">
      <c r="B496" s="11">
        <f t="shared" si="9"/>
        <v>494</v>
      </c>
      <c r="C496" s="11">
        <v>110337.58212626394</v>
      </c>
      <c r="D496" s="11">
        <v>110337.58212626394</v>
      </c>
    </row>
    <row r="497" spans="2:4" x14ac:dyDescent="0.3">
      <c r="B497" s="11">
        <f t="shared" si="9"/>
        <v>495</v>
      </c>
      <c r="C497" s="11">
        <v>121951.08475285744</v>
      </c>
      <c r="D497" s="11">
        <v>130375.32938985093</v>
      </c>
    </row>
    <row r="498" spans="2:4" x14ac:dyDescent="0.3">
      <c r="B498" s="11">
        <f t="shared" si="9"/>
        <v>496</v>
      </c>
      <c r="C498" s="11">
        <v>119785.45466670807</v>
      </c>
      <c r="D498" s="11">
        <v>119785.45466670807</v>
      </c>
    </row>
    <row r="499" spans="2:4" x14ac:dyDescent="0.3">
      <c r="B499" s="11">
        <f t="shared" si="9"/>
        <v>497</v>
      </c>
      <c r="C499" s="11">
        <v>85794.404793035181</v>
      </c>
      <c r="D499" s="11">
        <v>85794.404793035181</v>
      </c>
    </row>
    <row r="500" spans="2:4" x14ac:dyDescent="0.3">
      <c r="B500" s="11">
        <f t="shared" si="9"/>
        <v>498</v>
      </c>
      <c r="C500" s="11">
        <v>98736.628292268942</v>
      </c>
      <c r="D500" s="11">
        <v>98736.628292268942</v>
      </c>
    </row>
    <row r="501" spans="2:4" x14ac:dyDescent="0.3">
      <c r="B501" s="11">
        <f t="shared" si="9"/>
        <v>499</v>
      </c>
      <c r="C501" s="11">
        <v>137473.71156253477</v>
      </c>
      <c r="D501" s="11">
        <v>138392.87838948896</v>
      </c>
    </row>
    <row r="502" spans="2:4" x14ac:dyDescent="0.3">
      <c r="B502" s="11">
        <f t="shared" si="9"/>
        <v>500</v>
      </c>
      <c r="C502" s="11">
        <v>98231.471163995549</v>
      </c>
      <c r="D502" s="11">
        <v>98231.471163995549</v>
      </c>
    </row>
    <row r="503" spans="2:4" x14ac:dyDescent="0.3">
      <c r="B503" s="11">
        <f t="shared" si="9"/>
        <v>501</v>
      </c>
      <c r="C503" s="11">
        <v>124254.39113142484</v>
      </c>
      <c r="D503" s="11">
        <v>124254.39113142484</v>
      </c>
    </row>
    <row r="504" spans="2:4" x14ac:dyDescent="0.3">
      <c r="B504" s="11">
        <f t="shared" si="9"/>
        <v>502</v>
      </c>
      <c r="C504" s="11">
        <v>107185.72972148014</v>
      </c>
      <c r="D504" s="11">
        <v>107185.72972148014</v>
      </c>
    </row>
    <row r="505" spans="2:4" x14ac:dyDescent="0.3">
      <c r="B505" s="11">
        <f t="shared" si="9"/>
        <v>503</v>
      </c>
      <c r="C505" s="11">
        <v>89749.894140336502</v>
      </c>
      <c r="D505" s="11">
        <v>89749.894140336502</v>
      </c>
    </row>
    <row r="506" spans="2:4" x14ac:dyDescent="0.3">
      <c r="B506" s="11">
        <f t="shared" si="9"/>
        <v>504</v>
      </c>
      <c r="C506" s="11">
        <v>166103.28450329506</v>
      </c>
      <c r="D506" s="11">
        <v>166103.28450329506</v>
      </c>
    </row>
    <row r="507" spans="2:4" x14ac:dyDescent="0.3">
      <c r="B507" s="11">
        <f t="shared" si="9"/>
        <v>505</v>
      </c>
      <c r="C507" s="11">
        <v>123059.65927461472</v>
      </c>
      <c r="D507" s="11">
        <v>123059.65927461472</v>
      </c>
    </row>
    <row r="508" spans="2:4" x14ac:dyDescent="0.3">
      <c r="B508" s="11">
        <f t="shared" si="9"/>
        <v>506</v>
      </c>
      <c r="C508" s="11">
        <v>128672.80784799348</v>
      </c>
      <c r="D508" s="11">
        <v>128672.80784799348</v>
      </c>
    </row>
    <row r="509" spans="2:4" x14ac:dyDescent="0.3">
      <c r="B509" s="11">
        <f t="shared" si="9"/>
        <v>507</v>
      </c>
      <c r="C509" s="11">
        <v>167667.22211661423</v>
      </c>
      <c r="D509" s="11">
        <v>167667.22211661423</v>
      </c>
    </row>
    <row r="510" spans="2:4" x14ac:dyDescent="0.3">
      <c r="B510" s="11">
        <f t="shared" si="9"/>
        <v>508</v>
      </c>
      <c r="C510" s="11">
        <v>107425.13304352076</v>
      </c>
      <c r="D510" s="11">
        <v>107425.13304352076</v>
      </c>
    </row>
    <row r="511" spans="2:4" x14ac:dyDescent="0.3">
      <c r="B511" s="11">
        <f t="shared" si="9"/>
        <v>509</v>
      </c>
      <c r="C511" s="11">
        <v>75267.230933091894</v>
      </c>
      <c r="D511" s="11">
        <v>75267.230933091894</v>
      </c>
    </row>
    <row r="512" spans="2:4" x14ac:dyDescent="0.3">
      <c r="B512" s="11">
        <f t="shared" si="9"/>
        <v>510</v>
      </c>
      <c r="C512" s="11">
        <v>174070.26475924559</v>
      </c>
      <c r="D512" s="11">
        <v>174369.78658029376</v>
      </c>
    </row>
    <row r="513" spans="2:4" x14ac:dyDescent="0.3">
      <c r="B513" s="11">
        <f t="shared" si="9"/>
        <v>511</v>
      </c>
      <c r="C513" s="11">
        <v>146653.76775516142</v>
      </c>
      <c r="D513" s="11">
        <v>146653.76775516142</v>
      </c>
    </row>
    <row r="514" spans="2:4" x14ac:dyDescent="0.3">
      <c r="B514" s="11">
        <f t="shared" si="9"/>
        <v>512</v>
      </c>
      <c r="C514" s="11">
        <v>166027.62642117817</v>
      </c>
      <c r="D514" s="11">
        <v>166027.62642117817</v>
      </c>
    </row>
    <row r="515" spans="2:4" x14ac:dyDescent="0.3">
      <c r="B515" s="11">
        <f t="shared" si="9"/>
        <v>513</v>
      </c>
      <c r="C515" s="11">
        <v>85125.148684028187</v>
      </c>
      <c r="D515" s="11">
        <v>84913.340154421894</v>
      </c>
    </row>
    <row r="516" spans="2:4" x14ac:dyDescent="0.3">
      <c r="B516" s="11">
        <f t="shared" si="9"/>
        <v>514</v>
      </c>
      <c r="C516" s="11">
        <v>87072.050304536766</v>
      </c>
      <c r="D516" s="11">
        <v>87072.050304536766</v>
      </c>
    </row>
    <row r="517" spans="2:4" x14ac:dyDescent="0.3">
      <c r="B517" s="11">
        <f t="shared" ref="B517:B580" si="10">B516+1</f>
        <v>515</v>
      </c>
      <c r="C517" s="11">
        <v>71846.118018773137</v>
      </c>
      <c r="D517" s="11">
        <v>71846.118018773137</v>
      </c>
    </row>
    <row r="518" spans="2:4" x14ac:dyDescent="0.3">
      <c r="B518" s="11">
        <f t="shared" si="10"/>
        <v>516</v>
      </c>
      <c r="C518" s="11">
        <v>135222.074374672</v>
      </c>
      <c r="D518" s="11">
        <v>135222.074374672</v>
      </c>
    </row>
    <row r="519" spans="2:4" x14ac:dyDescent="0.3">
      <c r="B519" s="11">
        <f t="shared" si="10"/>
        <v>517</v>
      </c>
      <c r="C519" s="11">
        <v>167832.65746026282</v>
      </c>
      <c r="D519" s="11">
        <v>167832.65746026282</v>
      </c>
    </row>
    <row r="520" spans="2:4" x14ac:dyDescent="0.3">
      <c r="B520" s="11">
        <f t="shared" si="10"/>
        <v>518</v>
      </c>
      <c r="C520" s="11">
        <v>111038.76921621275</v>
      </c>
      <c r="D520" s="11">
        <v>111038.76921621275</v>
      </c>
    </row>
    <row r="521" spans="2:4" x14ac:dyDescent="0.3">
      <c r="B521" s="11">
        <f t="shared" si="10"/>
        <v>519</v>
      </c>
      <c r="C521" s="11">
        <v>122664.51858293543</v>
      </c>
      <c r="D521" s="11">
        <v>122664.51858293543</v>
      </c>
    </row>
    <row r="522" spans="2:4" x14ac:dyDescent="0.3">
      <c r="B522" s="11">
        <f t="shared" si="10"/>
        <v>520</v>
      </c>
      <c r="C522" s="11">
        <v>100244.64680437598</v>
      </c>
      <c r="D522" s="11">
        <v>100244.64680437598</v>
      </c>
    </row>
    <row r="523" spans="2:4" x14ac:dyDescent="0.3">
      <c r="B523" s="11">
        <f t="shared" si="10"/>
        <v>521</v>
      </c>
      <c r="C523" s="11">
        <v>68265.582089853197</v>
      </c>
      <c r="D523" s="11">
        <v>68265.582089853197</v>
      </c>
    </row>
    <row r="524" spans="2:4" x14ac:dyDescent="0.3">
      <c r="B524" s="11">
        <f t="shared" si="10"/>
        <v>522</v>
      </c>
      <c r="C524" s="11">
        <v>135600.67494159139</v>
      </c>
      <c r="D524" s="11">
        <v>135600.67494159139</v>
      </c>
    </row>
    <row r="525" spans="2:4" x14ac:dyDescent="0.3">
      <c r="B525" s="11">
        <f t="shared" si="10"/>
        <v>523</v>
      </c>
      <c r="C525" s="11">
        <v>126442.47778282671</v>
      </c>
      <c r="D525" s="11">
        <v>126442.47778282671</v>
      </c>
    </row>
    <row r="526" spans="2:4" x14ac:dyDescent="0.3">
      <c r="B526" s="11">
        <f t="shared" si="10"/>
        <v>524</v>
      </c>
      <c r="C526" s="11">
        <v>163234.62614341348</v>
      </c>
      <c r="D526" s="11">
        <v>163234.62614341348</v>
      </c>
    </row>
    <row r="527" spans="2:4" x14ac:dyDescent="0.3">
      <c r="B527" s="11">
        <f t="shared" si="10"/>
        <v>525</v>
      </c>
      <c r="C527" s="11">
        <v>164538.28949516453</v>
      </c>
      <c r="D527" s="11">
        <v>164538.28949516453</v>
      </c>
    </row>
    <row r="528" spans="2:4" x14ac:dyDescent="0.3">
      <c r="B528" s="11">
        <f t="shared" si="10"/>
        <v>526</v>
      </c>
      <c r="C528" s="11">
        <v>78930.638960247554</v>
      </c>
      <c r="D528" s="11">
        <v>78930.638960247554</v>
      </c>
    </row>
    <row r="529" spans="2:4" x14ac:dyDescent="0.3">
      <c r="B529" s="11">
        <f t="shared" si="10"/>
        <v>527</v>
      </c>
      <c r="C529" s="11">
        <v>55254.414000128956</v>
      </c>
      <c r="D529" s="11">
        <v>55254.414000128956</v>
      </c>
    </row>
    <row r="530" spans="2:4" x14ac:dyDescent="0.3">
      <c r="B530" s="11">
        <f t="shared" si="10"/>
        <v>528</v>
      </c>
      <c r="C530" s="11">
        <v>120724.81643513935</v>
      </c>
      <c r="D530" s="11">
        <v>120724.81643513935</v>
      </c>
    </row>
    <row r="531" spans="2:4" x14ac:dyDescent="0.3">
      <c r="B531" s="11">
        <f t="shared" si="10"/>
        <v>529</v>
      </c>
      <c r="C531" s="11">
        <v>105064.45128345875</v>
      </c>
      <c r="D531" s="11">
        <v>105064.45128345875</v>
      </c>
    </row>
    <row r="532" spans="2:4" x14ac:dyDescent="0.3">
      <c r="B532" s="11">
        <f t="shared" si="10"/>
        <v>530</v>
      </c>
      <c r="C532" s="11">
        <v>105249.91166477033</v>
      </c>
      <c r="D532" s="11">
        <v>105249.91166477033</v>
      </c>
    </row>
    <row r="533" spans="2:4" x14ac:dyDescent="0.3">
      <c r="B533" s="11">
        <f t="shared" si="10"/>
        <v>531</v>
      </c>
      <c r="C533" s="11">
        <v>80643.760832855158</v>
      </c>
      <c r="D533" s="11">
        <v>80643.760832855158</v>
      </c>
    </row>
    <row r="534" spans="2:4" x14ac:dyDescent="0.3">
      <c r="B534" s="11">
        <f t="shared" si="10"/>
        <v>532</v>
      </c>
      <c r="C534" s="11">
        <v>94791.288345146604</v>
      </c>
      <c r="D534" s="11">
        <v>94791.288345146604</v>
      </c>
    </row>
    <row r="535" spans="2:4" x14ac:dyDescent="0.3">
      <c r="B535" s="11">
        <f t="shared" si="10"/>
        <v>533</v>
      </c>
      <c r="C535" s="11">
        <v>148354.70385353366</v>
      </c>
      <c r="D535" s="11">
        <v>148354.70385353366</v>
      </c>
    </row>
    <row r="536" spans="2:4" x14ac:dyDescent="0.3">
      <c r="B536" s="11">
        <f t="shared" si="10"/>
        <v>534</v>
      </c>
      <c r="C536" s="11">
        <v>115883.66612374036</v>
      </c>
      <c r="D536" s="11">
        <v>115883.66612374036</v>
      </c>
    </row>
    <row r="537" spans="2:4" x14ac:dyDescent="0.3">
      <c r="B537" s="11">
        <f t="shared" si="10"/>
        <v>535</v>
      </c>
      <c r="C537" s="11">
        <v>315456.78191378829</v>
      </c>
      <c r="D537" s="11">
        <v>315686.2417091052</v>
      </c>
    </row>
    <row r="538" spans="2:4" x14ac:dyDescent="0.3">
      <c r="B538" s="11">
        <f t="shared" si="10"/>
        <v>536</v>
      </c>
      <c r="C538" s="11">
        <v>99760.382265454915</v>
      </c>
      <c r="D538" s="11">
        <v>99760.382265454915</v>
      </c>
    </row>
    <row r="539" spans="2:4" x14ac:dyDescent="0.3">
      <c r="B539" s="11">
        <f t="shared" si="10"/>
        <v>537</v>
      </c>
      <c r="C539" s="11">
        <v>73631.936848034326</v>
      </c>
      <c r="D539" s="11">
        <v>73631.936848034326</v>
      </c>
    </row>
    <row r="540" spans="2:4" x14ac:dyDescent="0.3">
      <c r="B540" s="11">
        <f t="shared" si="10"/>
        <v>538</v>
      </c>
      <c r="C540" s="11">
        <v>104640.53602665845</v>
      </c>
      <c r="D540" s="11">
        <v>104640.53602665845</v>
      </c>
    </row>
    <row r="541" spans="2:4" x14ac:dyDescent="0.3">
      <c r="B541" s="11">
        <f t="shared" si="10"/>
        <v>539</v>
      </c>
      <c r="C541" s="11">
        <v>194647.42020645016</v>
      </c>
      <c r="D541" s="11">
        <v>194647.42020645016</v>
      </c>
    </row>
    <row r="542" spans="2:4" x14ac:dyDescent="0.3">
      <c r="B542" s="11">
        <f t="shared" si="10"/>
        <v>540</v>
      </c>
      <c r="C542" s="11">
        <v>95663.130710379497</v>
      </c>
      <c r="D542" s="11">
        <v>94767.029776848169</v>
      </c>
    </row>
    <row r="543" spans="2:4" x14ac:dyDescent="0.3">
      <c r="B543" s="11">
        <f t="shared" si="10"/>
        <v>541</v>
      </c>
      <c r="C543" s="11">
        <v>45791.423391041164</v>
      </c>
      <c r="D543" s="11">
        <v>45791.423391041164</v>
      </c>
    </row>
    <row r="544" spans="2:4" x14ac:dyDescent="0.3">
      <c r="B544" s="11">
        <f t="shared" si="10"/>
        <v>542</v>
      </c>
      <c r="C544" s="11">
        <v>44223.600386825383</v>
      </c>
      <c r="D544" s="11">
        <v>44223.600386825383</v>
      </c>
    </row>
    <row r="545" spans="2:4" x14ac:dyDescent="0.3">
      <c r="B545" s="11">
        <f t="shared" si="10"/>
        <v>543</v>
      </c>
      <c r="C545" s="11">
        <v>133480.32024479893</v>
      </c>
      <c r="D545" s="11">
        <v>133480.32024479893</v>
      </c>
    </row>
    <row r="546" spans="2:4" x14ac:dyDescent="0.3">
      <c r="B546" s="11">
        <f t="shared" si="10"/>
        <v>544</v>
      </c>
      <c r="C546" s="11">
        <v>145200.444367388</v>
      </c>
      <c r="D546" s="11">
        <v>145200.444367388</v>
      </c>
    </row>
    <row r="547" spans="2:4" x14ac:dyDescent="0.3">
      <c r="B547" s="11">
        <f t="shared" si="10"/>
        <v>545</v>
      </c>
      <c r="C547" s="11">
        <v>161331.85211547767</v>
      </c>
      <c r="D547" s="11">
        <v>161708.45899218702</v>
      </c>
    </row>
    <row r="548" spans="2:4" x14ac:dyDescent="0.3">
      <c r="B548" s="11">
        <f t="shared" si="10"/>
        <v>546</v>
      </c>
      <c r="C548" s="11">
        <v>135743.62069284788</v>
      </c>
      <c r="D548" s="11">
        <v>135743.62069284788</v>
      </c>
    </row>
    <row r="549" spans="2:4" x14ac:dyDescent="0.3">
      <c r="B549" s="11">
        <f t="shared" si="10"/>
        <v>547</v>
      </c>
      <c r="C549" s="11">
        <v>95234.430448475774</v>
      </c>
      <c r="D549" s="11">
        <v>95234.430448475774</v>
      </c>
    </row>
    <row r="550" spans="2:4" x14ac:dyDescent="0.3">
      <c r="B550" s="11">
        <f t="shared" si="10"/>
        <v>548</v>
      </c>
      <c r="C550" s="11">
        <v>105124.95998652217</v>
      </c>
      <c r="D550" s="11">
        <v>105124.95998652217</v>
      </c>
    </row>
    <row r="551" spans="2:4" x14ac:dyDescent="0.3">
      <c r="B551" s="11">
        <f t="shared" si="10"/>
        <v>549</v>
      </c>
      <c r="C551" s="11">
        <v>194514.61107136821</v>
      </c>
      <c r="D551" s="11">
        <v>194514.61107136821</v>
      </c>
    </row>
    <row r="552" spans="2:4" x14ac:dyDescent="0.3">
      <c r="B552" s="11">
        <f t="shared" si="10"/>
        <v>550</v>
      </c>
      <c r="C552" s="11">
        <v>95867.455174488321</v>
      </c>
      <c r="D552" s="11">
        <v>95086.620701772539</v>
      </c>
    </row>
    <row r="553" spans="2:4" x14ac:dyDescent="0.3">
      <c r="B553" s="11">
        <f t="shared" si="10"/>
        <v>551</v>
      </c>
      <c r="C553" s="11">
        <v>86572.546833117871</v>
      </c>
      <c r="D553" s="11">
        <v>86572.546833117871</v>
      </c>
    </row>
    <row r="554" spans="2:4" x14ac:dyDescent="0.3">
      <c r="B554" s="11">
        <f t="shared" si="10"/>
        <v>552</v>
      </c>
      <c r="C554" s="11">
        <v>82895.125856711325</v>
      </c>
      <c r="D554" s="11">
        <v>82895.125856711325</v>
      </c>
    </row>
    <row r="555" spans="2:4" x14ac:dyDescent="0.3">
      <c r="B555" s="11">
        <f t="shared" si="10"/>
        <v>553</v>
      </c>
      <c r="C555" s="11">
        <v>140990.2175771617</v>
      </c>
      <c r="D555" s="11">
        <v>140990.2175771617</v>
      </c>
    </row>
    <row r="556" spans="2:4" x14ac:dyDescent="0.3">
      <c r="B556" s="11">
        <f t="shared" si="10"/>
        <v>554</v>
      </c>
      <c r="C556" s="11">
        <v>117494.10979998899</v>
      </c>
      <c r="D556" s="11">
        <v>117494.10979998899</v>
      </c>
    </row>
    <row r="557" spans="2:4" x14ac:dyDescent="0.3">
      <c r="B557" s="11">
        <f t="shared" si="10"/>
        <v>555</v>
      </c>
      <c r="C557" s="11">
        <v>103391.47790621087</v>
      </c>
      <c r="D557" s="11">
        <v>103391.47790621087</v>
      </c>
    </row>
    <row r="558" spans="2:4" x14ac:dyDescent="0.3">
      <c r="B558" s="11">
        <f t="shared" si="10"/>
        <v>556</v>
      </c>
      <c r="C558" s="11">
        <v>181530.10275931287</v>
      </c>
      <c r="D558" s="11">
        <v>181530.10275931287</v>
      </c>
    </row>
    <row r="559" spans="2:4" x14ac:dyDescent="0.3">
      <c r="B559" s="11">
        <f t="shared" si="10"/>
        <v>557</v>
      </c>
      <c r="C559" s="11">
        <v>182818.08717674098</v>
      </c>
      <c r="D559" s="11">
        <v>182818.08717674098</v>
      </c>
    </row>
    <row r="560" spans="2:4" x14ac:dyDescent="0.3">
      <c r="B560" s="11">
        <f t="shared" si="10"/>
        <v>558</v>
      </c>
      <c r="C560" s="11">
        <v>57862.575152293786</v>
      </c>
      <c r="D560" s="11">
        <v>57862.575152293786</v>
      </c>
    </row>
    <row r="561" spans="2:4" x14ac:dyDescent="0.3">
      <c r="B561" s="11">
        <f t="shared" si="10"/>
        <v>559</v>
      </c>
      <c r="C561" s="11">
        <v>88998.093030038232</v>
      </c>
      <c r="D561" s="11">
        <v>88998.093030038232</v>
      </c>
    </row>
    <row r="562" spans="2:4" x14ac:dyDescent="0.3">
      <c r="B562" s="11">
        <f t="shared" si="10"/>
        <v>560</v>
      </c>
      <c r="C562" s="11">
        <v>93738.187539140636</v>
      </c>
      <c r="D562" s="11">
        <v>93738.187539140636</v>
      </c>
    </row>
    <row r="563" spans="2:4" x14ac:dyDescent="0.3">
      <c r="B563" s="11">
        <f t="shared" si="10"/>
        <v>561</v>
      </c>
      <c r="C563" s="11">
        <v>87430.919883618189</v>
      </c>
      <c r="D563" s="11">
        <v>87430.919883618189</v>
      </c>
    </row>
    <row r="564" spans="2:4" x14ac:dyDescent="0.3">
      <c r="B564" s="11">
        <f t="shared" si="10"/>
        <v>562</v>
      </c>
      <c r="C564" s="11">
        <v>106317.85300542314</v>
      </c>
      <c r="D564" s="11">
        <v>106317.85300542314</v>
      </c>
    </row>
    <row r="565" spans="2:4" x14ac:dyDescent="0.3">
      <c r="B565" s="11">
        <f t="shared" si="10"/>
        <v>563</v>
      </c>
      <c r="C565" s="11">
        <v>161074.02968805478</v>
      </c>
      <c r="D565" s="11">
        <v>162473.74067380442</v>
      </c>
    </row>
    <row r="566" spans="2:4" x14ac:dyDescent="0.3">
      <c r="B566" s="11">
        <f t="shared" si="10"/>
        <v>564</v>
      </c>
      <c r="C566" s="11">
        <v>33341.394641688908</v>
      </c>
      <c r="D566" s="11">
        <v>32411.483887404778</v>
      </c>
    </row>
    <row r="567" spans="2:4" x14ac:dyDescent="0.3">
      <c r="B567" s="11">
        <f t="shared" si="10"/>
        <v>565</v>
      </c>
      <c r="C567" s="11">
        <v>137399.70839795229</v>
      </c>
      <c r="D567" s="11">
        <v>137399.70839795229</v>
      </c>
    </row>
    <row r="568" spans="2:4" x14ac:dyDescent="0.3">
      <c r="B568" s="11">
        <f t="shared" si="10"/>
        <v>566</v>
      </c>
      <c r="C568" s="11">
        <v>141065.5032723686</v>
      </c>
      <c r="D568" s="11">
        <v>141065.5032723686</v>
      </c>
    </row>
    <row r="569" spans="2:4" x14ac:dyDescent="0.3">
      <c r="B569" s="11">
        <f t="shared" si="10"/>
        <v>567</v>
      </c>
      <c r="C569" s="11">
        <v>84391.153416932168</v>
      </c>
      <c r="D569" s="11">
        <v>78576.846229486357</v>
      </c>
    </row>
    <row r="570" spans="2:4" x14ac:dyDescent="0.3">
      <c r="B570" s="11">
        <f t="shared" si="10"/>
        <v>568</v>
      </c>
      <c r="C570" s="11">
        <v>114377.06829045754</v>
      </c>
      <c r="D570" s="11">
        <v>114377.06829045754</v>
      </c>
    </row>
    <row r="571" spans="2:4" x14ac:dyDescent="0.3">
      <c r="B571" s="11">
        <f t="shared" si="10"/>
        <v>569</v>
      </c>
      <c r="C571" s="11">
        <v>77879.18777585699</v>
      </c>
      <c r="D571" s="11">
        <v>79743.827183431189</v>
      </c>
    </row>
    <row r="572" spans="2:4" x14ac:dyDescent="0.3">
      <c r="B572" s="11">
        <f t="shared" si="10"/>
        <v>570</v>
      </c>
      <c r="C572" s="11">
        <v>74853.286586244489</v>
      </c>
      <c r="D572" s="11">
        <v>74853.286586244489</v>
      </c>
    </row>
    <row r="573" spans="2:4" x14ac:dyDescent="0.3">
      <c r="B573" s="11">
        <f t="shared" si="10"/>
        <v>571</v>
      </c>
      <c r="C573" s="11">
        <v>270300.81588909857</v>
      </c>
      <c r="D573" s="11">
        <v>270625.31961474725</v>
      </c>
    </row>
    <row r="574" spans="2:4" x14ac:dyDescent="0.3">
      <c r="B574" s="11">
        <f t="shared" si="10"/>
        <v>572</v>
      </c>
      <c r="C574" s="11">
        <v>164072.17088301084</v>
      </c>
      <c r="D574" s="11">
        <v>163477.88598357205</v>
      </c>
    </row>
    <row r="575" spans="2:4" x14ac:dyDescent="0.3">
      <c r="B575" s="11">
        <f t="shared" si="10"/>
        <v>573</v>
      </c>
      <c r="C575" s="11">
        <v>114829.95378139334</v>
      </c>
      <c r="D575" s="11">
        <v>114829.95378139334</v>
      </c>
    </row>
    <row r="576" spans="2:4" x14ac:dyDescent="0.3">
      <c r="B576" s="11">
        <f t="shared" si="10"/>
        <v>574</v>
      </c>
      <c r="C576" s="11">
        <v>79204.41281304248</v>
      </c>
      <c r="D576" s="11">
        <v>79204.41281304248</v>
      </c>
    </row>
    <row r="577" spans="2:4" x14ac:dyDescent="0.3">
      <c r="B577" s="11">
        <f t="shared" si="10"/>
        <v>575</v>
      </c>
      <c r="C577" s="11">
        <v>97865.723205329661</v>
      </c>
      <c r="D577" s="11">
        <v>97865.723205329661</v>
      </c>
    </row>
    <row r="578" spans="2:4" x14ac:dyDescent="0.3">
      <c r="B578" s="11">
        <f t="shared" si="10"/>
        <v>576</v>
      </c>
      <c r="C578" s="11">
        <v>152709.73025809246</v>
      </c>
      <c r="D578" s="11">
        <v>152709.73025809246</v>
      </c>
    </row>
    <row r="579" spans="2:4" x14ac:dyDescent="0.3">
      <c r="B579" s="11">
        <f t="shared" si="10"/>
        <v>577</v>
      </c>
      <c r="C579" s="11">
        <v>100405.57561036051</v>
      </c>
      <c r="D579" s="11">
        <v>100405.57561036051</v>
      </c>
    </row>
    <row r="580" spans="2:4" x14ac:dyDescent="0.3">
      <c r="B580" s="11">
        <f t="shared" si="10"/>
        <v>578</v>
      </c>
      <c r="C580" s="11">
        <v>114195.64199676226</v>
      </c>
      <c r="D580" s="11">
        <v>114195.64199676226</v>
      </c>
    </row>
    <row r="581" spans="2:4" x14ac:dyDescent="0.3">
      <c r="B581" s="11">
        <f t="shared" ref="B581:B644" si="11">B580+1</f>
        <v>579</v>
      </c>
      <c r="C581" s="11">
        <v>209011.05329094987</v>
      </c>
      <c r="D581" s="11">
        <v>209011.05329094987</v>
      </c>
    </row>
    <row r="582" spans="2:4" x14ac:dyDescent="0.3">
      <c r="B582" s="11">
        <f t="shared" si="11"/>
        <v>580</v>
      </c>
      <c r="C582" s="11">
        <v>97744.136810589043</v>
      </c>
      <c r="D582" s="11">
        <v>97744.136810589043</v>
      </c>
    </row>
    <row r="583" spans="2:4" x14ac:dyDescent="0.3">
      <c r="B583" s="11">
        <f t="shared" si="11"/>
        <v>581</v>
      </c>
      <c r="C583" s="11">
        <v>70001.430217757705</v>
      </c>
      <c r="D583" s="11">
        <v>70001.430217757705</v>
      </c>
    </row>
    <row r="584" spans="2:4" x14ac:dyDescent="0.3">
      <c r="B584" s="11">
        <f t="shared" si="11"/>
        <v>582</v>
      </c>
      <c r="C584" s="11">
        <v>55630.060449045013</v>
      </c>
      <c r="D584" s="11">
        <v>55630.060449045013</v>
      </c>
    </row>
    <row r="585" spans="2:4" x14ac:dyDescent="0.3">
      <c r="B585" s="11">
        <f t="shared" si="11"/>
        <v>583</v>
      </c>
      <c r="C585" s="11">
        <v>123800.52708963542</v>
      </c>
      <c r="D585" s="11">
        <v>123800.52708963542</v>
      </c>
    </row>
    <row r="586" spans="2:4" x14ac:dyDescent="0.3">
      <c r="B586" s="11">
        <f t="shared" si="11"/>
        <v>584</v>
      </c>
      <c r="C586" s="11">
        <v>74961.865764795817</v>
      </c>
      <c r="D586" s="11">
        <v>74961.865764795817</v>
      </c>
    </row>
    <row r="587" spans="2:4" x14ac:dyDescent="0.3">
      <c r="B587" s="11">
        <f t="shared" si="11"/>
        <v>585</v>
      </c>
      <c r="C587" s="11">
        <v>83040.505970671395</v>
      </c>
      <c r="D587" s="11">
        <v>83040.505970671395</v>
      </c>
    </row>
    <row r="588" spans="2:4" x14ac:dyDescent="0.3">
      <c r="B588" s="11">
        <f t="shared" si="11"/>
        <v>586</v>
      </c>
      <c r="C588" s="11">
        <v>93990.838478646183</v>
      </c>
      <c r="D588" s="11">
        <v>93990.838478646183</v>
      </c>
    </row>
    <row r="589" spans="2:4" x14ac:dyDescent="0.3">
      <c r="B589" s="11">
        <f t="shared" si="11"/>
        <v>587</v>
      </c>
      <c r="C589" s="11">
        <v>162821.48702478214</v>
      </c>
      <c r="D589" s="11">
        <v>162821.48702478214</v>
      </c>
    </row>
    <row r="590" spans="2:4" x14ac:dyDescent="0.3">
      <c r="B590" s="11">
        <f t="shared" si="11"/>
        <v>588</v>
      </c>
      <c r="C590" s="11">
        <v>138784.45965809788</v>
      </c>
      <c r="D590" s="11">
        <v>138784.45965809788</v>
      </c>
    </row>
    <row r="591" spans="2:4" x14ac:dyDescent="0.3">
      <c r="B591" s="11">
        <f t="shared" si="11"/>
        <v>589</v>
      </c>
      <c r="C591" s="11">
        <v>83610.384548606613</v>
      </c>
      <c r="D591" s="11">
        <v>83610.384548606613</v>
      </c>
    </row>
    <row r="592" spans="2:4" x14ac:dyDescent="0.3">
      <c r="B592" s="11">
        <f t="shared" si="11"/>
        <v>590</v>
      </c>
      <c r="C592" s="11">
        <v>50831.206651899236</v>
      </c>
      <c r="D592" s="11">
        <v>50831.206651899236</v>
      </c>
    </row>
    <row r="593" spans="2:4" x14ac:dyDescent="0.3">
      <c r="B593" s="11">
        <f t="shared" si="11"/>
        <v>591</v>
      </c>
      <c r="C593" s="11">
        <v>107428.41157116009</v>
      </c>
      <c r="D593" s="11">
        <v>107428.41157116009</v>
      </c>
    </row>
    <row r="594" spans="2:4" x14ac:dyDescent="0.3">
      <c r="B594" s="11">
        <f t="shared" si="11"/>
        <v>592</v>
      </c>
      <c r="C594" s="11">
        <v>53525.853644531424</v>
      </c>
      <c r="D594" s="11">
        <v>53525.853644531424</v>
      </c>
    </row>
    <row r="595" spans="2:4" x14ac:dyDescent="0.3">
      <c r="B595" s="11">
        <f t="shared" si="11"/>
        <v>593</v>
      </c>
      <c r="C595" s="11">
        <v>82469.428588952505</v>
      </c>
      <c r="D595" s="11">
        <v>82469.428588952505</v>
      </c>
    </row>
    <row r="596" spans="2:4" x14ac:dyDescent="0.3">
      <c r="B596" s="11">
        <f t="shared" si="11"/>
        <v>594</v>
      </c>
      <c r="C596" s="11">
        <v>98589.700721140238</v>
      </c>
      <c r="D596" s="11">
        <v>89297.769594075682</v>
      </c>
    </row>
    <row r="597" spans="2:4" x14ac:dyDescent="0.3">
      <c r="B597" s="11">
        <f t="shared" si="11"/>
        <v>595</v>
      </c>
      <c r="C597" s="11">
        <v>143376.80065379152</v>
      </c>
      <c r="D597" s="11">
        <v>143376.80065379152</v>
      </c>
    </row>
    <row r="598" spans="2:4" x14ac:dyDescent="0.3">
      <c r="B598" s="11">
        <f t="shared" si="11"/>
        <v>596</v>
      </c>
      <c r="C598" s="11">
        <v>73683.485929301794</v>
      </c>
      <c r="D598" s="11">
        <v>73683.485929301794</v>
      </c>
    </row>
    <row r="599" spans="2:4" x14ac:dyDescent="0.3">
      <c r="B599" s="11">
        <f t="shared" si="11"/>
        <v>597</v>
      </c>
      <c r="C599" s="11">
        <v>118837.15457109842</v>
      </c>
      <c r="D599" s="11">
        <v>118837.15457109842</v>
      </c>
    </row>
    <row r="600" spans="2:4" x14ac:dyDescent="0.3">
      <c r="B600" s="11">
        <f t="shared" si="11"/>
        <v>598</v>
      </c>
      <c r="C600" s="11">
        <v>85345.519511451639</v>
      </c>
      <c r="D600" s="11">
        <v>85345.519511451639</v>
      </c>
    </row>
    <row r="601" spans="2:4" x14ac:dyDescent="0.3">
      <c r="B601" s="11">
        <f t="shared" si="11"/>
        <v>599</v>
      </c>
      <c r="C601" s="11">
        <v>160284.22980048737</v>
      </c>
      <c r="D601" s="11">
        <v>160284.22980048737</v>
      </c>
    </row>
    <row r="602" spans="2:4" x14ac:dyDescent="0.3">
      <c r="B602" s="11">
        <f t="shared" si="11"/>
        <v>600</v>
      </c>
      <c r="C602" s="11">
        <v>61250.927635000749</v>
      </c>
      <c r="D602" s="11">
        <v>61250.927635000749</v>
      </c>
    </row>
    <row r="603" spans="2:4" x14ac:dyDescent="0.3">
      <c r="B603" s="11">
        <f t="shared" si="11"/>
        <v>601</v>
      </c>
      <c r="C603" s="11">
        <v>103215.9612964418</v>
      </c>
      <c r="D603" s="11">
        <v>103215.9612964418</v>
      </c>
    </row>
    <row r="604" spans="2:4" x14ac:dyDescent="0.3">
      <c r="B604" s="11">
        <f t="shared" si="11"/>
        <v>602</v>
      </c>
      <c r="C604" s="11">
        <v>59943.276162796312</v>
      </c>
      <c r="D604" s="11">
        <v>59943.276162796312</v>
      </c>
    </row>
    <row r="605" spans="2:4" x14ac:dyDescent="0.3">
      <c r="B605" s="11">
        <f t="shared" si="11"/>
        <v>603</v>
      </c>
      <c r="C605" s="11">
        <v>72214.300533700196</v>
      </c>
      <c r="D605" s="11">
        <v>72214.300533700196</v>
      </c>
    </row>
    <row r="606" spans="2:4" x14ac:dyDescent="0.3">
      <c r="B606" s="11">
        <f t="shared" si="11"/>
        <v>604</v>
      </c>
      <c r="C606" s="11">
        <v>108363.25226601324</v>
      </c>
      <c r="D606" s="11">
        <v>108247.17945048871</v>
      </c>
    </row>
    <row r="607" spans="2:4" x14ac:dyDescent="0.3">
      <c r="B607" s="11">
        <f t="shared" si="11"/>
        <v>605</v>
      </c>
      <c r="C607" s="11">
        <v>162925.6565865764</v>
      </c>
      <c r="D607" s="11">
        <v>162925.6565865764</v>
      </c>
    </row>
    <row r="608" spans="2:4" x14ac:dyDescent="0.3">
      <c r="B608" s="11">
        <f t="shared" si="11"/>
        <v>606</v>
      </c>
      <c r="C608" s="11">
        <v>93629.063177181495</v>
      </c>
      <c r="D608" s="11">
        <v>93629.063177181495</v>
      </c>
    </row>
    <row r="609" spans="2:4" x14ac:dyDescent="0.3">
      <c r="B609" s="11">
        <f t="shared" si="11"/>
        <v>607</v>
      </c>
      <c r="C609" s="11">
        <v>158268.06457881333</v>
      </c>
      <c r="D609" s="11">
        <v>158268.06457881333</v>
      </c>
    </row>
    <row r="610" spans="2:4" x14ac:dyDescent="0.3">
      <c r="B610" s="11">
        <f t="shared" si="11"/>
        <v>608</v>
      </c>
      <c r="C610" s="11">
        <v>107339.42883201936</v>
      </c>
      <c r="D610" s="11">
        <v>107339.42883201936</v>
      </c>
    </row>
    <row r="611" spans="2:4" x14ac:dyDescent="0.3">
      <c r="B611" s="11">
        <f t="shared" si="11"/>
        <v>609</v>
      </c>
      <c r="C611" s="11">
        <v>56299.991817153736</v>
      </c>
      <c r="D611" s="11">
        <v>56299.991817153736</v>
      </c>
    </row>
    <row r="612" spans="2:4" x14ac:dyDescent="0.3">
      <c r="B612" s="11">
        <f t="shared" si="11"/>
        <v>610</v>
      </c>
      <c r="C612" s="11">
        <v>48949.377271156845</v>
      </c>
      <c r="D612" s="11">
        <v>48949.377271156845</v>
      </c>
    </row>
    <row r="613" spans="2:4" x14ac:dyDescent="0.3">
      <c r="B613" s="11">
        <f t="shared" si="11"/>
        <v>611</v>
      </c>
      <c r="C613" s="11">
        <v>71794.950153385274</v>
      </c>
      <c r="D613" s="11">
        <v>71794.950153385274</v>
      </c>
    </row>
    <row r="614" spans="2:4" x14ac:dyDescent="0.3">
      <c r="B614" s="11">
        <f t="shared" si="11"/>
        <v>612</v>
      </c>
      <c r="C614" s="11">
        <v>54259.870994566852</v>
      </c>
      <c r="D614" s="11">
        <v>54259.870994566852</v>
      </c>
    </row>
    <row r="615" spans="2:4" x14ac:dyDescent="0.3">
      <c r="B615" s="11">
        <f t="shared" si="11"/>
        <v>613</v>
      </c>
      <c r="C615" s="11">
        <v>112336.83083091705</v>
      </c>
      <c r="D615" s="11">
        <v>112336.83083091705</v>
      </c>
    </row>
    <row r="616" spans="2:4" x14ac:dyDescent="0.3">
      <c r="B616" s="11">
        <f t="shared" si="11"/>
        <v>614</v>
      </c>
      <c r="C616" s="11">
        <v>66406.390557514678</v>
      </c>
      <c r="D616" s="11">
        <v>66406.390557514678</v>
      </c>
    </row>
    <row r="617" spans="2:4" x14ac:dyDescent="0.3">
      <c r="B617" s="11">
        <f t="shared" si="11"/>
        <v>615</v>
      </c>
      <c r="C617" s="11">
        <v>77595.766414618935</v>
      </c>
      <c r="D617" s="11">
        <v>77595.766414618935</v>
      </c>
    </row>
    <row r="618" spans="2:4" x14ac:dyDescent="0.3">
      <c r="B618" s="11">
        <f t="shared" si="11"/>
        <v>616</v>
      </c>
      <c r="C618" s="11">
        <v>74107.896349975548</v>
      </c>
      <c r="D618" s="11">
        <v>74107.896349975548</v>
      </c>
    </row>
    <row r="619" spans="2:4" x14ac:dyDescent="0.3">
      <c r="B619" s="11">
        <f t="shared" si="11"/>
        <v>617</v>
      </c>
      <c r="C619" s="11">
        <v>115975.63192580696</v>
      </c>
      <c r="D619" s="11">
        <v>115975.63192580696</v>
      </c>
    </row>
    <row r="620" spans="2:4" x14ac:dyDescent="0.3">
      <c r="B620" s="11">
        <f t="shared" si="11"/>
        <v>618</v>
      </c>
      <c r="C620" s="11">
        <v>130458.82881743825</v>
      </c>
      <c r="D620" s="11">
        <v>130458.82881743825</v>
      </c>
    </row>
    <row r="621" spans="2:4" x14ac:dyDescent="0.3">
      <c r="B621" s="11">
        <f t="shared" si="11"/>
        <v>619</v>
      </c>
      <c r="C621" s="11">
        <v>110026.16895884692</v>
      </c>
      <c r="D621" s="11">
        <v>109442.48246209981</v>
      </c>
    </row>
    <row r="622" spans="2:4" x14ac:dyDescent="0.3">
      <c r="B622" s="11">
        <f t="shared" si="11"/>
        <v>620</v>
      </c>
      <c r="C622" s="11">
        <v>79988.649385834709</v>
      </c>
      <c r="D622" s="11">
        <v>79988.649385834709</v>
      </c>
    </row>
    <row r="623" spans="2:4" x14ac:dyDescent="0.3">
      <c r="B623" s="11">
        <f t="shared" si="11"/>
        <v>621</v>
      </c>
      <c r="C623" s="11">
        <v>158901.28758491058</v>
      </c>
      <c r="D623" s="11">
        <v>158901.28758491058</v>
      </c>
    </row>
    <row r="624" spans="2:4" x14ac:dyDescent="0.3">
      <c r="B624" s="11">
        <f t="shared" si="11"/>
        <v>622</v>
      </c>
      <c r="C624" s="11">
        <v>138648.61984702491</v>
      </c>
      <c r="D624" s="11">
        <v>137763.50732935622</v>
      </c>
    </row>
    <row r="625" spans="2:4" x14ac:dyDescent="0.3">
      <c r="B625" s="11">
        <f t="shared" si="11"/>
        <v>623</v>
      </c>
      <c r="C625" s="11">
        <v>71129.708824406014</v>
      </c>
      <c r="D625" s="11">
        <v>71129.708824406014</v>
      </c>
    </row>
    <row r="626" spans="2:4" x14ac:dyDescent="0.3">
      <c r="B626" s="11">
        <f t="shared" si="11"/>
        <v>624</v>
      </c>
      <c r="C626" s="11">
        <v>118147.99792620671</v>
      </c>
      <c r="D626" s="11">
        <v>118147.99792620671</v>
      </c>
    </row>
    <row r="627" spans="2:4" x14ac:dyDescent="0.3">
      <c r="B627" s="11">
        <f t="shared" si="11"/>
        <v>625</v>
      </c>
      <c r="C627" s="11">
        <v>241536.58434454061</v>
      </c>
      <c r="D627" s="11">
        <v>251710.55484235729</v>
      </c>
    </row>
    <row r="628" spans="2:4" x14ac:dyDescent="0.3">
      <c r="B628" s="11">
        <f t="shared" si="11"/>
        <v>626</v>
      </c>
      <c r="C628" s="11">
        <v>169571.75600935231</v>
      </c>
      <c r="D628" s="11">
        <v>169571.75600935231</v>
      </c>
    </row>
    <row r="629" spans="2:4" x14ac:dyDescent="0.3">
      <c r="B629" s="11">
        <f t="shared" si="11"/>
        <v>627</v>
      </c>
      <c r="C629" s="11">
        <v>121517.18968794656</v>
      </c>
      <c r="D629" s="11">
        <v>121517.18968794656</v>
      </c>
    </row>
    <row r="630" spans="2:4" x14ac:dyDescent="0.3">
      <c r="B630" s="11">
        <f t="shared" si="11"/>
        <v>628</v>
      </c>
      <c r="C630" s="11">
        <v>97483.314450237725</v>
      </c>
      <c r="D630" s="11">
        <v>100948.49643988107</v>
      </c>
    </row>
    <row r="631" spans="2:4" x14ac:dyDescent="0.3">
      <c r="B631" s="11">
        <f t="shared" si="11"/>
        <v>629</v>
      </c>
      <c r="C631" s="11">
        <v>132475.35834894422</v>
      </c>
      <c r="D631" s="11">
        <v>132475.35834894422</v>
      </c>
    </row>
    <row r="632" spans="2:4" x14ac:dyDescent="0.3">
      <c r="B632" s="11">
        <f t="shared" si="11"/>
        <v>630</v>
      </c>
      <c r="C632" s="11">
        <v>71573.532199748995</v>
      </c>
      <c r="D632" s="11">
        <v>71573.532199748995</v>
      </c>
    </row>
    <row r="633" spans="2:4" x14ac:dyDescent="0.3">
      <c r="B633" s="11">
        <f t="shared" si="11"/>
        <v>631</v>
      </c>
      <c r="C633" s="11">
        <v>100721.29159781666</v>
      </c>
      <c r="D633" s="11">
        <v>100721.29159781666</v>
      </c>
    </row>
    <row r="634" spans="2:4" x14ac:dyDescent="0.3">
      <c r="B634" s="11">
        <f t="shared" si="11"/>
        <v>632</v>
      </c>
      <c r="C634" s="11">
        <v>73175.933113552295</v>
      </c>
      <c r="D634" s="11">
        <v>73175.933113552295</v>
      </c>
    </row>
    <row r="635" spans="2:4" x14ac:dyDescent="0.3">
      <c r="B635" s="11">
        <f t="shared" si="11"/>
        <v>633</v>
      </c>
      <c r="C635" s="11">
        <v>58968.126641151168</v>
      </c>
      <c r="D635" s="11">
        <v>58968.126641151168</v>
      </c>
    </row>
    <row r="636" spans="2:4" x14ac:dyDescent="0.3">
      <c r="B636" s="11">
        <f t="shared" si="11"/>
        <v>634</v>
      </c>
      <c r="C636" s="11">
        <v>193057.02255467683</v>
      </c>
      <c r="D636" s="11">
        <v>193057.02255467683</v>
      </c>
    </row>
    <row r="637" spans="2:4" x14ac:dyDescent="0.3">
      <c r="B637" s="11">
        <f t="shared" si="11"/>
        <v>635</v>
      </c>
      <c r="C637" s="11">
        <v>44539.623543426103</v>
      </c>
      <c r="D637" s="11">
        <v>44539.623543426103</v>
      </c>
    </row>
    <row r="638" spans="2:4" x14ac:dyDescent="0.3">
      <c r="B638" s="11">
        <f t="shared" si="11"/>
        <v>636</v>
      </c>
      <c r="C638" s="11">
        <v>112477.66863739064</v>
      </c>
      <c r="D638" s="11">
        <v>112477.66863739064</v>
      </c>
    </row>
    <row r="639" spans="2:4" x14ac:dyDescent="0.3">
      <c r="B639" s="11">
        <f t="shared" si="11"/>
        <v>637</v>
      </c>
      <c r="C639" s="11">
        <v>185474.83205811674</v>
      </c>
      <c r="D639" s="11">
        <v>185474.83205811674</v>
      </c>
    </row>
    <row r="640" spans="2:4" x14ac:dyDescent="0.3">
      <c r="B640" s="11">
        <f t="shared" si="11"/>
        <v>638</v>
      </c>
      <c r="C640" s="11">
        <v>109077.59910841592</v>
      </c>
      <c r="D640" s="11">
        <v>109077.59910841592</v>
      </c>
    </row>
    <row r="641" spans="2:4" x14ac:dyDescent="0.3">
      <c r="B641" s="11">
        <f t="shared" si="11"/>
        <v>639</v>
      </c>
      <c r="C641" s="11">
        <v>187381.47980885801</v>
      </c>
      <c r="D641" s="11">
        <v>187381.47980885801</v>
      </c>
    </row>
    <row r="642" spans="2:4" x14ac:dyDescent="0.3">
      <c r="B642" s="11">
        <f t="shared" si="11"/>
        <v>640</v>
      </c>
      <c r="C642" s="11">
        <v>39367.014381783374</v>
      </c>
      <c r="D642" s="11">
        <v>39367.014381783374</v>
      </c>
    </row>
    <row r="643" spans="2:4" x14ac:dyDescent="0.3">
      <c r="B643" s="11">
        <f t="shared" si="11"/>
        <v>641</v>
      </c>
      <c r="C643" s="11">
        <v>106265.5207588303</v>
      </c>
      <c r="D643" s="11">
        <v>106265.5207588303</v>
      </c>
    </row>
    <row r="644" spans="2:4" x14ac:dyDescent="0.3">
      <c r="B644" s="11">
        <f t="shared" si="11"/>
        <v>642</v>
      </c>
      <c r="C644" s="11">
        <v>43369.565537707975</v>
      </c>
      <c r="D644" s="11">
        <v>43369.565537707975</v>
      </c>
    </row>
    <row r="645" spans="2:4" x14ac:dyDescent="0.3">
      <c r="B645" s="11">
        <f t="shared" ref="B645:B708" si="12">B644+1</f>
        <v>643</v>
      </c>
      <c r="C645" s="11">
        <v>85089.420410677165</v>
      </c>
      <c r="D645" s="11">
        <v>85089.420410677165</v>
      </c>
    </row>
    <row r="646" spans="2:4" x14ac:dyDescent="0.3">
      <c r="B646" s="11">
        <f t="shared" si="12"/>
        <v>644</v>
      </c>
      <c r="C646" s="11">
        <v>123873.69023200835</v>
      </c>
      <c r="D646" s="11">
        <v>123873.69023200835</v>
      </c>
    </row>
    <row r="647" spans="2:4" x14ac:dyDescent="0.3">
      <c r="B647" s="11">
        <f t="shared" si="12"/>
        <v>645</v>
      </c>
      <c r="C647" s="11">
        <v>93601.625681775215</v>
      </c>
      <c r="D647" s="11">
        <v>93601.625681775215</v>
      </c>
    </row>
    <row r="648" spans="2:4" x14ac:dyDescent="0.3">
      <c r="B648" s="11">
        <f t="shared" si="12"/>
        <v>646</v>
      </c>
      <c r="C648" s="11">
        <v>110044.73009479589</v>
      </c>
      <c r="D648" s="11">
        <v>110121.84449061063</v>
      </c>
    </row>
    <row r="649" spans="2:4" x14ac:dyDescent="0.3">
      <c r="B649" s="11">
        <f t="shared" si="12"/>
        <v>647</v>
      </c>
      <c r="C649" s="11">
        <v>54092.635855218396</v>
      </c>
      <c r="D649" s="11">
        <v>53621.49888708959</v>
      </c>
    </row>
    <row r="650" spans="2:4" x14ac:dyDescent="0.3">
      <c r="B650" s="11">
        <f t="shared" si="12"/>
        <v>648</v>
      </c>
      <c r="C650" s="11">
        <v>73174.559416867167</v>
      </c>
      <c r="D650" s="11">
        <v>73174.559416867167</v>
      </c>
    </row>
    <row r="651" spans="2:4" x14ac:dyDescent="0.3">
      <c r="B651" s="11">
        <f t="shared" si="12"/>
        <v>649</v>
      </c>
      <c r="C651" s="11">
        <v>77593.020270950641</v>
      </c>
      <c r="D651" s="11">
        <v>77593.020270950641</v>
      </c>
    </row>
    <row r="652" spans="2:4" x14ac:dyDescent="0.3">
      <c r="B652" s="11">
        <f t="shared" si="12"/>
        <v>650</v>
      </c>
      <c r="C652" s="11">
        <v>68777.891397575309</v>
      </c>
      <c r="D652" s="11">
        <v>68777.891397575309</v>
      </c>
    </row>
    <row r="653" spans="2:4" x14ac:dyDescent="0.3">
      <c r="B653" s="11">
        <f t="shared" si="12"/>
        <v>651</v>
      </c>
      <c r="C653" s="11">
        <v>115868.03084844809</v>
      </c>
      <c r="D653" s="11">
        <v>115868.03084844809</v>
      </c>
    </row>
    <row r="654" spans="2:4" x14ac:dyDescent="0.3">
      <c r="B654" s="11">
        <f t="shared" si="12"/>
        <v>652</v>
      </c>
      <c r="C654" s="11">
        <v>72311.942052510261</v>
      </c>
      <c r="D654" s="11">
        <v>72311.942052510261</v>
      </c>
    </row>
    <row r="655" spans="2:4" x14ac:dyDescent="0.3">
      <c r="B655" s="11">
        <f t="shared" si="12"/>
        <v>653</v>
      </c>
      <c r="C655" s="11">
        <v>120533.67523632338</v>
      </c>
      <c r="D655" s="11">
        <v>121500.63999697799</v>
      </c>
    </row>
    <row r="656" spans="2:4" x14ac:dyDescent="0.3">
      <c r="B656" s="11">
        <f t="shared" si="12"/>
        <v>654</v>
      </c>
      <c r="C656" s="11">
        <v>154683.40695725483</v>
      </c>
      <c r="D656" s="11">
        <v>154683.40695725483</v>
      </c>
    </row>
    <row r="657" spans="2:4" x14ac:dyDescent="0.3">
      <c r="B657" s="11">
        <f t="shared" si="12"/>
        <v>655</v>
      </c>
      <c r="C657" s="11">
        <v>99014.363454162478</v>
      </c>
      <c r="D657" s="11">
        <v>102683.76173734559</v>
      </c>
    </row>
    <row r="658" spans="2:4" x14ac:dyDescent="0.3">
      <c r="B658" s="11">
        <f t="shared" si="12"/>
        <v>656</v>
      </c>
      <c r="C658" s="11">
        <v>119066.13439142225</v>
      </c>
      <c r="D658" s="11">
        <v>119066.13439142225</v>
      </c>
    </row>
    <row r="659" spans="2:4" x14ac:dyDescent="0.3">
      <c r="B659" s="11">
        <f t="shared" si="12"/>
        <v>657</v>
      </c>
      <c r="C659" s="11">
        <v>139349.32088547276</v>
      </c>
      <c r="D659" s="11">
        <v>139349.32088547276</v>
      </c>
    </row>
    <row r="660" spans="2:4" x14ac:dyDescent="0.3">
      <c r="B660" s="11">
        <f t="shared" si="12"/>
        <v>658</v>
      </c>
      <c r="C660" s="11">
        <v>82581.625966269014</v>
      </c>
      <c r="D660" s="11">
        <v>82581.625966269014</v>
      </c>
    </row>
    <row r="661" spans="2:4" x14ac:dyDescent="0.3">
      <c r="B661" s="11">
        <f t="shared" si="12"/>
        <v>659</v>
      </c>
      <c r="C661" s="11">
        <v>108209.32468700212</v>
      </c>
      <c r="D661" s="11">
        <v>108209.32468700212</v>
      </c>
    </row>
    <row r="662" spans="2:4" x14ac:dyDescent="0.3">
      <c r="B662" s="11">
        <f t="shared" si="12"/>
        <v>660</v>
      </c>
      <c r="C662" s="11">
        <v>76355.032390117762</v>
      </c>
      <c r="D662" s="11">
        <v>76355.032390117762</v>
      </c>
    </row>
    <row r="663" spans="2:4" x14ac:dyDescent="0.3">
      <c r="B663" s="11">
        <f t="shared" si="12"/>
        <v>661</v>
      </c>
      <c r="C663" s="11">
        <v>188310.84651485269</v>
      </c>
      <c r="D663" s="11">
        <v>188310.84651485269</v>
      </c>
    </row>
    <row r="664" spans="2:4" x14ac:dyDescent="0.3">
      <c r="B664" s="11">
        <f t="shared" si="12"/>
        <v>662</v>
      </c>
      <c r="C664" s="11">
        <v>87089.951242510462</v>
      </c>
      <c r="D664" s="11">
        <v>87089.951242510462</v>
      </c>
    </row>
    <row r="665" spans="2:4" x14ac:dyDescent="0.3">
      <c r="B665" s="11">
        <f t="shared" si="12"/>
        <v>663</v>
      </c>
      <c r="C665" s="11">
        <v>65466.985644544176</v>
      </c>
      <c r="D665" s="11">
        <v>65466.985644544176</v>
      </c>
    </row>
    <row r="666" spans="2:4" x14ac:dyDescent="0.3">
      <c r="B666" s="11">
        <f t="shared" si="12"/>
        <v>664</v>
      </c>
      <c r="C666" s="11">
        <v>115077.59206686732</v>
      </c>
      <c r="D666" s="11">
        <v>115077.59206686732</v>
      </c>
    </row>
    <row r="667" spans="2:4" x14ac:dyDescent="0.3">
      <c r="B667" s="11">
        <f t="shared" si="12"/>
        <v>665</v>
      </c>
      <c r="C667" s="11">
        <v>74315.163854199316</v>
      </c>
      <c r="D667" s="11">
        <v>74315.163854199316</v>
      </c>
    </row>
    <row r="668" spans="2:4" x14ac:dyDescent="0.3">
      <c r="B668" s="11">
        <f t="shared" si="12"/>
        <v>666</v>
      </c>
      <c r="C668" s="11">
        <v>99245.463242251746</v>
      </c>
      <c r="D668" s="11">
        <v>99245.463242251746</v>
      </c>
    </row>
    <row r="669" spans="2:4" x14ac:dyDescent="0.3">
      <c r="B669" s="11">
        <f t="shared" si="12"/>
        <v>667</v>
      </c>
      <c r="C669" s="11">
        <v>66530.511896874421</v>
      </c>
      <c r="D669" s="11">
        <v>66530.511896874421</v>
      </c>
    </row>
    <row r="670" spans="2:4" x14ac:dyDescent="0.3">
      <c r="B670" s="11">
        <f t="shared" si="12"/>
        <v>668</v>
      </c>
      <c r="C670" s="11">
        <v>110970.46112034046</v>
      </c>
      <c r="D670" s="11">
        <v>110970.46112034046</v>
      </c>
    </row>
    <row r="671" spans="2:4" x14ac:dyDescent="0.3">
      <c r="B671" s="11">
        <f t="shared" si="12"/>
        <v>669</v>
      </c>
      <c r="C671" s="11">
        <v>172812.8075907905</v>
      </c>
      <c r="D671" s="11">
        <v>172812.8075907905</v>
      </c>
    </row>
    <row r="672" spans="2:4" x14ac:dyDescent="0.3">
      <c r="B672" s="11">
        <f t="shared" si="12"/>
        <v>670</v>
      </c>
      <c r="C672" s="11">
        <v>93610.875486681354</v>
      </c>
      <c r="D672" s="11">
        <v>91572.142900336767</v>
      </c>
    </row>
    <row r="673" spans="2:4" x14ac:dyDescent="0.3">
      <c r="B673" s="11">
        <f t="shared" si="12"/>
        <v>671</v>
      </c>
      <c r="C673" s="11">
        <v>148155.78496909756</v>
      </c>
      <c r="D673" s="11">
        <v>148155.78496909756</v>
      </c>
    </row>
    <row r="674" spans="2:4" x14ac:dyDescent="0.3">
      <c r="B674" s="11">
        <f t="shared" si="12"/>
        <v>672</v>
      </c>
      <c r="C674" s="11">
        <v>95174.805960135433</v>
      </c>
      <c r="D674" s="11">
        <v>95174.805960135433</v>
      </c>
    </row>
    <row r="675" spans="2:4" x14ac:dyDescent="0.3">
      <c r="B675" s="11">
        <f t="shared" si="12"/>
        <v>673</v>
      </c>
      <c r="C675" s="11">
        <v>64556.878031849512</v>
      </c>
      <c r="D675" s="11">
        <v>64556.878031849512</v>
      </c>
    </row>
    <row r="676" spans="2:4" x14ac:dyDescent="0.3">
      <c r="B676" s="11">
        <f t="shared" si="12"/>
        <v>674</v>
      </c>
      <c r="C676" s="11">
        <v>60426.371616254895</v>
      </c>
      <c r="D676" s="11">
        <v>60426.371616254895</v>
      </c>
    </row>
    <row r="677" spans="2:4" x14ac:dyDescent="0.3">
      <c r="B677" s="11">
        <f t="shared" si="12"/>
        <v>675</v>
      </c>
      <c r="C677" s="11">
        <v>78223.187248180795</v>
      </c>
      <c r="D677" s="11">
        <v>78223.187248180795</v>
      </c>
    </row>
    <row r="678" spans="2:4" x14ac:dyDescent="0.3">
      <c r="B678" s="11">
        <f t="shared" si="12"/>
        <v>676</v>
      </c>
      <c r="C678" s="11">
        <v>49553.717478033555</v>
      </c>
      <c r="D678" s="11">
        <v>49553.717478033555</v>
      </c>
    </row>
    <row r="679" spans="2:4" x14ac:dyDescent="0.3">
      <c r="B679" s="11">
        <f t="shared" si="12"/>
        <v>677</v>
      </c>
      <c r="C679" s="11">
        <v>127615.06024947487</v>
      </c>
      <c r="D679" s="11">
        <v>127615.06024947487</v>
      </c>
    </row>
    <row r="680" spans="2:4" x14ac:dyDescent="0.3">
      <c r="B680" s="11">
        <f t="shared" si="12"/>
        <v>678</v>
      </c>
      <c r="C680" s="11">
        <v>129221.91708580544</v>
      </c>
      <c r="D680" s="11">
        <v>129221.91708580544</v>
      </c>
    </row>
    <row r="681" spans="2:4" x14ac:dyDescent="0.3">
      <c r="B681" s="11">
        <f t="shared" si="12"/>
        <v>679</v>
      </c>
      <c r="C681" s="11">
        <v>97620.469415032829</v>
      </c>
      <c r="D681" s="11">
        <v>97620.469415032829</v>
      </c>
    </row>
    <row r="682" spans="2:4" x14ac:dyDescent="0.3">
      <c r="B682" s="11">
        <f t="shared" si="12"/>
        <v>680</v>
      </c>
      <c r="C682" s="11">
        <v>190706.16524016298</v>
      </c>
      <c r="D682" s="11">
        <v>190706.16524016298</v>
      </c>
    </row>
    <row r="683" spans="2:4" x14ac:dyDescent="0.3">
      <c r="B683" s="11">
        <f t="shared" si="12"/>
        <v>681</v>
      </c>
      <c r="C683" s="11">
        <v>92427.909230323625</v>
      </c>
      <c r="D683" s="11">
        <v>92427.909230323625</v>
      </c>
    </row>
    <row r="684" spans="2:4" x14ac:dyDescent="0.3">
      <c r="B684" s="11">
        <f t="shared" si="12"/>
        <v>682</v>
      </c>
      <c r="C684" s="11">
        <v>61254.244901748432</v>
      </c>
      <c r="D684" s="11">
        <v>61254.244901748432</v>
      </c>
    </row>
    <row r="685" spans="2:4" x14ac:dyDescent="0.3">
      <c r="B685" s="11">
        <f t="shared" si="12"/>
        <v>683</v>
      </c>
      <c r="C685" s="11">
        <v>107948.49062922825</v>
      </c>
      <c r="D685" s="11">
        <v>107948.49062922825</v>
      </c>
    </row>
    <row r="686" spans="2:4" x14ac:dyDescent="0.3">
      <c r="B686" s="11">
        <f t="shared" si="12"/>
        <v>684</v>
      </c>
      <c r="C686" s="11">
        <v>126748.46409685888</v>
      </c>
      <c r="D686" s="11">
        <v>126748.46409685888</v>
      </c>
    </row>
    <row r="687" spans="2:4" x14ac:dyDescent="0.3">
      <c r="B687" s="11">
        <f t="shared" si="12"/>
        <v>685</v>
      </c>
      <c r="C687" s="11">
        <v>113776.41872745212</v>
      </c>
      <c r="D687" s="11">
        <v>113776.41872745212</v>
      </c>
    </row>
    <row r="688" spans="2:4" x14ac:dyDescent="0.3">
      <c r="B688" s="11">
        <f t="shared" si="12"/>
        <v>686</v>
      </c>
      <c r="C688" s="11">
        <v>102515.42722736647</v>
      </c>
      <c r="D688" s="11">
        <v>102515.42722736647</v>
      </c>
    </row>
    <row r="689" spans="2:4" x14ac:dyDescent="0.3">
      <c r="B689" s="11">
        <f t="shared" si="12"/>
        <v>687</v>
      </c>
      <c r="C689" s="11">
        <v>85846.276682880605</v>
      </c>
      <c r="D689" s="11">
        <v>85846.276682880605</v>
      </c>
    </row>
    <row r="690" spans="2:4" x14ac:dyDescent="0.3">
      <c r="B690" s="11">
        <f t="shared" si="12"/>
        <v>688</v>
      </c>
      <c r="C690" s="11">
        <v>141818.76385341375</v>
      </c>
      <c r="D690" s="11">
        <v>141818.76385341375</v>
      </c>
    </row>
    <row r="691" spans="2:4" x14ac:dyDescent="0.3">
      <c r="B691" s="11">
        <f t="shared" si="12"/>
        <v>689</v>
      </c>
      <c r="C691" s="11">
        <v>83117.612371426294</v>
      </c>
      <c r="D691" s="11">
        <v>83117.612371426294</v>
      </c>
    </row>
    <row r="692" spans="2:4" x14ac:dyDescent="0.3">
      <c r="B692" s="11">
        <f t="shared" si="12"/>
        <v>690</v>
      </c>
      <c r="C692" s="11">
        <v>69283.433097484522</v>
      </c>
      <c r="D692" s="11">
        <v>69283.433097484522</v>
      </c>
    </row>
    <row r="693" spans="2:4" x14ac:dyDescent="0.3">
      <c r="B693" s="11">
        <f t="shared" si="12"/>
        <v>691</v>
      </c>
      <c r="C693" s="11">
        <v>105778.90037896797</v>
      </c>
      <c r="D693" s="11">
        <v>105778.90037896797</v>
      </c>
    </row>
    <row r="694" spans="2:4" x14ac:dyDescent="0.3">
      <c r="B694" s="11">
        <f t="shared" si="12"/>
        <v>692</v>
      </c>
      <c r="C694" s="11">
        <v>61519.315157099365</v>
      </c>
      <c r="D694" s="11">
        <v>61519.315157099365</v>
      </c>
    </row>
    <row r="695" spans="2:4" x14ac:dyDescent="0.3">
      <c r="B695" s="11">
        <f t="shared" si="12"/>
        <v>693</v>
      </c>
      <c r="C695" s="11">
        <v>121563.45985976576</v>
      </c>
      <c r="D695" s="11">
        <v>121563.45985976576</v>
      </c>
    </row>
    <row r="696" spans="2:4" x14ac:dyDescent="0.3">
      <c r="B696" s="11">
        <f t="shared" si="12"/>
        <v>694</v>
      </c>
      <c r="C696" s="11">
        <v>88622.71855410852</v>
      </c>
      <c r="D696" s="11">
        <v>88622.71855410852</v>
      </c>
    </row>
    <row r="697" spans="2:4" x14ac:dyDescent="0.3">
      <c r="B697" s="11">
        <f t="shared" si="12"/>
        <v>695</v>
      </c>
      <c r="C697" s="11">
        <v>134521.33926667424</v>
      </c>
      <c r="D697" s="11">
        <v>134521.33926667424</v>
      </c>
    </row>
    <row r="698" spans="2:4" x14ac:dyDescent="0.3">
      <c r="B698" s="11">
        <f t="shared" si="12"/>
        <v>696</v>
      </c>
      <c r="C698" s="11">
        <v>92088.640058693782</v>
      </c>
      <c r="D698" s="11">
        <v>92088.640058693782</v>
      </c>
    </row>
    <row r="699" spans="2:4" x14ac:dyDescent="0.3">
      <c r="B699" s="11">
        <f t="shared" si="12"/>
        <v>697</v>
      </c>
      <c r="C699" s="11">
        <v>114227.85087845224</v>
      </c>
      <c r="D699" s="11">
        <v>114471.9733229182</v>
      </c>
    </row>
    <row r="700" spans="2:4" x14ac:dyDescent="0.3">
      <c r="B700" s="11">
        <f t="shared" si="12"/>
        <v>698</v>
      </c>
      <c r="C700" s="11">
        <v>119084.60067098931</v>
      </c>
      <c r="D700" s="11">
        <v>119084.60067098931</v>
      </c>
    </row>
    <row r="701" spans="2:4" x14ac:dyDescent="0.3">
      <c r="B701" s="11">
        <f t="shared" si="12"/>
        <v>699</v>
      </c>
      <c r="C701" s="11">
        <v>122717.75389074312</v>
      </c>
      <c r="D701" s="11">
        <v>122717.75389074312</v>
      </c>
    </row>
    <row r="702" spans="2:4" x14ac:dyDescent="0.3">
      <c r="B702" s="11">
        <f t="shared" si="12"/>
        <v>700</v>
      </c>
      <c r="C702" s="11">
        <v>110085.54631337748</v>
      </c>
      <c r="D702" s="11">
        <v>110085.54631337748</v>
      </c>
    </row>
    <row r="703" spans="2:4" x14ac:dyDescent="0.3">
      <c r="B703" s="11">
        <f t="shared" si="12"/>
        <v>701</v>
      </c>
      <c r="C703" s="11">
        <v>103265.18555948492</v>
      </c>
      <c r="D703" s="11">
        <v>103265.18555948492</v>
      </c>
    </row>
    <row r="704" spans="2:4" x14ac:dyDescent="0.3">
      <c r="B704" s="11">
        <f t="shared" si="12"/>
        <v>702</v>
      </c>
      <c r="C704" s="11">
        <v>116764.14832119555</v>
      </c>
      <c r="D704" s="11">
        <v>113410.92032968212</v>
      </c>
    </row>
    <row r="705" spans="2:4" x14ac:dyDescent="0.3">
      <c r="B705" s="11">
        <f t="shared" si="12"/>
        <v>703</v>
      </c>
      <c r="C705" s="11">
        <v>110580.9821086343</v>
      </c>
      <c r="D705" s="11">
        <v>110580.9821086343</v>
      </c>
    </row>
    <row r="706" spans="2:4" x14ac:dyDescent="0.3">
      <c r="B706" s="11">
        <f t="shared" si="12"/>
        <v>704</v>
      </c>
      <c r="C706" s="11">
        <v>92348.533026249497</v>
      </c>
      <c r="D706" s="11">
        <v>92348.533026249497</v>
      </c>
    </row>
    <row r="707" spans="2:4" x14ac:dyDescent="0.3">
      <c r="B707" s="11">
        <f t="shared" si="12"/>
        <v>705</v>
      </c>
      <c r="C707" s="11">
        <v>46905.8207584665</v>
      </c>
      <c r="D707" s="11">
        <v>46905.8207584665</v>
      </c>
    </row>
    <row r="708" spans="2:4" x14ac:dyDescent="0.3">
      <c r="B708" s="11">
        <f t="shared" si="12"/>
        <v>706</v>
      </c>
      <c r="C708" s="11">
        <v>109514.53508250166</v>
      </c>
      <c r="D708" s="11">
        <v>110549.83693004222</v>
      </c>
    </row>
    <row r="709" spans="2:4" x14ac:dyDescent="0.3">
      <c r="B709" s="11">
        <f t="shared" ref="B709:B772" si="13">B708+1</f>
        <v>707</v>
      </c>
      <c r="C709" s="11">
        <v>62448.72347366294</v>
      </c>
      <c r="D709" s="11">
        <v>62448.72347366294</v>
      </c>
    </row>
    <row r="710" spans="2:4" x14ac:dyDescent="0.3">
      <c r="B710" s="11">
        <f t="shared" si="13"/>
        <v>708</v>
      </c>
      <c r="C710" s="11">
        <v>244355.09667373053</v>
      </c>
      <c r="D710" s="11">
        <v>244355.09667373053</v>
      </c>
    </row>
    <row r="711" spans="2:4" x14ac:dyDescent="0.3">
      <c r="B711" s="11">
        <f t="shared" si="13"/>
        <v>709</v>
      </c>
      <c r="C711" s="11">
        <v>73326.029458980673</v>
      </c>
      <c r="D711" s="11">
        <v>73326.029458980673</v>
      </c>
    </row>
    <row r="712" spans="2:4" x14ac:dyDescent="0.3">
      <c r="B712" s="11">
        <f t="shared" si="13"/>
        <v>710</v>
      </c>
      <c r="C712" s="11">
        <v>71384.174825450493</v>
      </c>
      <c r="D712" s="11">
        <v>71384.174825450493</v>
      </c>
    </row>
    <row r="713" spans="2:4" x14ac:dyDescent="0.3">
      <c r="B713" s="11">
        <f t="shared" si="13"/>
        <v>711</v>
      </c>
      <c r="C713" s="11">
        <v>107547.43207572609</v>
      </c>
      <c r="D713" s="11">
        <v>107547.43207572609</v>
      </c>
    </row>
    <row r="714" spans="2:4" x14ac:dyDescent="0.3">
      <c r="B714" s="11">
        <f t="shared" si="13"/>
        <v>712</v>
      </c>
      <c r="C714" s="11">
        <v>102714.90214130552</v>
      </c>
      <c r="D714" s="11">
        <v>102714.90214130552</v>
      </c>
    </row>
    <row r="715" spans="2:4" x14ac:dyDescent="0.3">
      <c r="B715" s="11">
        <f t="shared" si="13"/>
        <v>713</v>
      </c>
      <c r="C715" s="11">
        <v>168011.97368754639</v>
      </c>
      <c r="D715" s="11">
        <v>168011.97368754639</v>
      </c>
    </row>
    <row r="716" spans="2:4" x14ac:dyDescent="0.3">
      <c r="B716" s="11">
        <f t="shared" si="13"/>
        <v>714</v>
      </c>
      <c r="C716" s="11">
        <v>87237.284643610488</v>
      </c>
      <c r="D716" s="11">
        <v>87237.284643610488</v>
      </c>
    </row>
    <row r="717" spans="2:4" x14ac:dyDescent="0.3">
      <c r="B717" s="11">
        <f t="shared" si="13"/>
        <v>715</v>
      </c>
      <c r="C717" s="11">
        <v>75532.178962758597</v>
      </c>
      <c r="D717" s="11">
        <v>75532.178962758597</v>
      </c>
    </row>
    <row r="718" spans="2:4" x14ac:dyDescent="0.3">
      <c r="B718" s="11">
        <f t="shared" si="13"/>
        <v>716</v>
      </c>
      <c r="C718" s="11">
        <v>101099.34354633871</v>
      </c>
      <c r="D718" s="11">
        <v>101099.34354633871</v>
      </c>
    </row>
    <row r="719" spans="2:4" x14ac:dyDescent="0.3">
      <c r="B719" s="11">
        <f t="shared" si="13"/>
        <v>717</v>
      </c>
      <c r="C719" s="11">
        <v>74747.208293260468</v>
      </c>
      <c r="D719" s="11">
        <v>74747.208293260468</v>
      </c>
    </row>
    <row r="720" spans="2:4" x14ac:dyDescent="0.3">
      <c r="B720" s="11">
        <f t="shared" si="13"/>
        <v>718</v>
      </c>
      <c r="C720" s="11">
        <v>103477.47601165489</v>
      </c>
      <c r="D720" s="11">
        <v>103477.47601165489</v>
      </c>
    </row>
    <row r="721" spans="2:4" x14ac:dyDescent="0.3">
      <c r="B721" s="11">
        <f t="shared" si="13"/>
        <v>719</v>
      </c>
      <c r="C721" s="11">
        <v>99494.747058139546</v>
      </c>
      <c r="D721" s="11">
        <v>99494.747058139546</v>
      </c>
    </row>
    <row r="722" spans="2:4" x14ac:dyDescent="0.3">
      <c r="B722" s="11">
        <f t="shared" si="13"/>
        <v>720</v>
      </c>
      <c r="C722" s="11">
        <v>126872.99699346292</v>
      </c>
      <c r="D722" s="11">
        <v>126872.99699346292</v>
      </c>
    </row>
    <row r="723" spans="2:4" x14ac:dyDescent="0.3">
      <c r="B723" s="11">
        <f t="shared" si="13"/>
        <v>721</v>
      </c>
      <c r="C723" s="11">
        <v>180353.82547519368</v>
      </c>
      <c r="D723" s="11">
        <v>180353.82547519368</v>
      </c>
    </row>
    <row r="724" spans="2:4" x14ac:dyDescent="0.3">
      <c r="B724" s="11">
        <f t="shared" si="13"/>
        <v>722</v>
      </c>
      <c r="C724" s="11">
        <v>77018.810947030928</v>
      </c>
      <c r="D724" s="11">
        <v>78371.227140228963</v>
      </c>
    </row>
    <row r="725" spans="2:4" x14ac:dyDescent="0.3">
      <c r="B725" s="11">
        <f t="shared" si="13"/>
        <v>723</v>
      </c>
      <c r="C725" s="11">
        <v>112465.92091787141</v>
      </c>
      <c r="D725" s="11">
        <v>112465.92091787141</v>
      </c>
    </row>
    <row r="726" spans="2:4" x14ac:dyDescent="0.3">
      <c r="B726" s="11">
        <f t="shared" si="13"/>
        <v>724</v>
      </c>
      <c r="C726" s="11">
        <v>45684.957248099861</v>
      </c>
      <c r="D726" s="11">
        <v>45418.017221952818</v>
      </c>
    </row>
    <row r="727" spans="2:4" x14ac:dyDescent="0.3">
      <c r="B727" s="11">
        <f t="shared" si="13"/>
        <v>725</v>
      </c>
      <c r="C727" s="11">
        <v>75010.663855494568</v>
      </c>
      <c r="D727" s="11">
        <v>75010.663855494568</v>
      </c>
    </row>
    <row r="728" spans="2:4" x14ac:dyDescent="0.3">
      <c r="B728" s="11">
        <f t="shared" si="13"/>
        <v>726</v>
      </c>
      <c r="C728" s="11">
        <v>45032.913466346676</v>
      </c>
      <c r="D728" s="11">
        <v>45032.913466346676</v>
      </c>
    </row>
    <row r="729" spans="2:4" x14ac:dyDescent="0.3">
      <c r="B729" s="11">
        <f t="shared" si="13"/>
        <v>727</v>
      </c>
      <c r="C729" s="11">
        <v>185195.40590576388</v>
      </c>
      <c r="D729" s="11">
        <v>185195.40590576388</v>
      </c>
    </row>
    <row r="730" spans="2:4" x14ac:dyDescent="0.3">
      <c r="B730" s="11">
        <f t="shared" si="13"/>
        <v>728</v>
      </c>
      <c r="C730" s="11">
        <v>79174.970902306173</v>
      </c>
      <c r="D730" s="11">
        <v>78660.202814248885</v>
      </c>
    </row>
    <row r="731" spans="2:4" x14ac:dyDescent="0.3">
      <c r="B731" s="11">
        <f t="shared" si="13"/>
        <v>729</v>
      </c>
      <c r="C731" s="11">
        <v>116880.75034745506</v>
      </c>
      <c r="D731" s="11">
        <v>116880.75034745506</v>
      </c>
    </row>
    <row r="732" spans="2:4" x14ac:dyDescent="0.3">
      <c r="B732" s="11">
        <f t="shared" si="13"/>
        <v>730</v>
      </c>
      <c r="C732" s="11">
        <v>118549.79935189376</v>
      </c>
      <c r="D732" s="11">
        <v>118549.79935189376</v>
      </c>
    </row>
    <row r="733" spans="2:4" x14ac:dyDescent="0.3">
      <c r="B733" s="11">
        <f t="shared" si="13"/>
        <v>731</v>
      </c>
      <c r="C733" s="11">
        <v>96145.718891626952</v>
      </c>
      <c r="D733" s="11">
        <v>96145.718891626952</v>
      </c>
    </row>
    <row r="734" spans="2:4" x14ac:dyDescent="0.3">
      <c r="B734" s="11">
        <f t="shared" si="13"/>
        <v>732</v>
      </c>
      <c r="C734" s="11">
        <v>140716.65656690369</v>
      </c>
      <c r="D734" s="11">
        <v>140716.65656690369</v>
      </c>
    </row>
    <row r="735" spans="2:4" x14ac:dyDescent="0.3">
      <c r="B735" s="11">
        <f t="shared" si="13"/>
        <v>733</v>
      </c>
      <c r="C735" s="11">
        <v>98060.965287940984</v>
      </c>
      <c r="D735" s="11">
        <v>98060.965287940984</v>
      </c>
    </row>
    <row r="736" spans="2:4" x14ac:dyDescent="0.3">
      <c r="B736" s="11">
        <f t="shared" si="13"/>
        <v>734</v>
      </c>
      <c r="C736" s="11">
        <v>59775.743819011463</v>
      </c>
      <c r="D736" s="11">
        <v>59218.628148494478</v>
      </c>
    </row>
    <row r="737" spans="2:4" x14ac:dyDescent="0.3">
      <c r="B737" s="11">
        <f t="shared" si="13"/>
        <v>735</v>
      </c>
      <c r="C737" s="11">
        <v>116205.1951365031</v>
      </c>
      <c r="D737" s="11">
        <v>116205.1951365031</v>
      </c>
    </row>
    <row r="738" spans="2:4" x14ac:dyDescent="0.3">
      <c r="B738" s="11">
        <f t="shared" si="13"/>
        <v>736</v>
      </c>
      <c r="C738" s="11">
        <v>149257.45552060808</v>
      </c>
      <c r="D738" s="11">
        <v>149257.45552060808</v>
      </c>
    </row>
    <row r="739" spans="2:4" x14ac:dyDescent="0.3">
      <c r="B739" s="11">
        <f t="shared" si="13"/>
        <v>737</v>
      </c>
      <c r="C739" s="11">
        <v>78297.140532352932</v>
      </c>
      <c r="D739" s="11">
        <v>78297.140532352932</v>
      </c>
    </row>
    <row r="740" spans="2:4" x14ac:dyDescent="0.3">
      <c r="B740" s="11">
        <f t="shared" si="13"/>
        <v>738</v>
      </c>
      <c r="C740" s="11">
        <v>107675.65301236237</v>
      </c>
      <c r="D740" s="11">
        <v>107675.65301236237</v>
      </c>
    </row>
    <row r="741" spans="2:4" x14ac:dyDescent="0.3">
      <c r="B741" s="11">
        <f t="shared" si="13"/>
        <v>739</v>
      </c>
      <c r="C741" s="11">
        <v>94085.242971165426</v>
      </c>
      <c r="D741" s="11">
        <v>98295.124086562835</v>
      </c>
    </row>
    <row r="742" spans="2:4" x14ac:dyDescent="0.3">
      <c r="B742" s="11">
        <f t="shared" si="13"/>
        <v>740</v>
      </c>
      <c r="C742" s="11">
        <v>89207.588025783625</v>
      </c>
      <c r="D742" s="11">
        <v>89207.588025783625</v>
      </c>
    </row>
    <row r="743" spans="2:4" x14ac:dyDescent="0.3">
      <c r="B743" s="11">
        <f t="shared" si="13"/>
        <v>741</v>
      </c>
      <c r="C743" s="11">
        <v>186848.36739566684</v>
      </c>
      <c r="D743" s="11">
        <v>186848.36739566684</v>
      </c>
    </row>
    <row r="744" spans="2:4" x14ac:dyDescent="0.3">
      <c r="B744" s="11">
        <f t="shared" si="13"/>
        <v>742</v>
      </c>
      <c r="C744" s="11">
        <v>113762.46287210677</v>
      </c>
      <c r="D744" s="11">
        <v>113762.46287210677</v>
      </c>
    </row>
    <row r="745" spans="2:4" x14ac:dyDescent="0.3">
      <c r="B745" s="11">
        <f t="shared" si="13"/>
        <v>743</v>
      </c>
      <c r="C745" s="11">
        <v>79619.499593636661</v>
      </c>
      <c r="D745" s="11">
        <v>79394.440784005317</v>
      </c>
    </row>
    <row r="746" spans="2:4" x14ac:dyDescent="0.3">
      <c r="B746" s="11">
        <f t="shared" si="13"/>
        <v>744</v>
      </c>
      <c r="C746" s="11">
        <v>172598.45739676591</v>
      </c>
      <c r="D746" s="11">
        <v>172598.45739676591</v>
      </c>
    </row>
    <row r="747" spans="2:4" x14ac:dyDescent="0.3">
      <c r="B747" s="11">
        <f t="shared" si="13"/>
        <v>745</v>
      </c>
      <c r="C747" s="11">
        <v>58912.436172962116</v>
      </c>
      <c r="D747" s="11">
        <v>58912.436172962116</v>
      </c>
    </row>
    <row r="748" spans="2:4" x14ac:dyDescent="0.3">
      <c r="B748" s="11">
        <f t="shared" si="13"/>
        <v>746</v>
      </c>
      <c r="C748" s="11">
        <v>216584.58683133524</v>
      </c>
      <c r="D748" s="11">
        <v>216584.58683133524</v>
      </c>
    </row>
    <row r="749" spans="2:4" x14ac:dyDescent="0.3">
      <c r="B749" s="11">
        <f t="shared" si="13"/>
        <v>747</v>
      </c>
      <c r="C749" s="11">
        <v>112818.10299353472</v>
      </c>
      <c r="D749" s="11">
        <v>106400.48466291267</v>
      </c>
    </row>
    <row r="750" spans="2:4" x14ac:dyDescent="0.3">
      <c r="B750" s="11">
        <f t="shared" si="13"/>
        <v>748</v>
      </c>
      <c r="C750" s="11">
        <v>138745.90357751932</v>
      </c>
      <c r="D750" s="11">
        <v>138887.90891228229</v>
      </c>
    </row>
    <row r="751" spans="2:4" x14ac:dyDescent="0.3">
      <c r="B751" s="11">
        <f t="shared" si="13"/>
        <v>749</v>
      </c>
      <c r="C751" s="11">
        <v>118259.20399632193</v>
      </c>
      <c r="D751" s="11">
        <v>118259.20399632193</v>
      </c>
    </row>
    <row r="752" spans="2:4" x14ac:dyDescent="0.3">
      <c r="B752" s="11">
        <f t="shared" si="13"/>
        <v>750</v>
      </c>
      <c r="C752" s="11">
        <v>106956.1779711753</v>
      </c>
      <c r="D752" s="11">
        <v>106956.1779711753</v>
      </c>
    </row>
    <row r="753" spans="2:4" x14ac:dyDescent="0.3">
      <c r="B753" s="11">
        <f t="shared" si="13"/>
        <v>751</v>
      </c>
      <c r="C753" s="11">
        <v>218294.3782867433</v>
      </c>
      <c r="D753" s="11">
        <v>218294.3782867433</v>
      </c>
    </row>
    <row r="754" spans="2:4" x14ac:dyDescent="0.3">
      <c r="B754" s="11">
        <f t="shared" si="13"/>
        <v>752</v>
      </c>
      <c r="C754" s="11">
        <v>95935.11446542629</v>
      </c>
      <c r="D754" s="11">
        <v>95935.11446542629</v>
      </c>
    </row>
    <row r="755" spans="2:4" x14ac:dyDescent="0.3">
      <c r="B755" s="11">
        <f t="shared" si="13"/>
        <v>753</v>
      </c>
      <c r="C755" s="11">
        <v>129099.26811069733</v>
      </c>
      <c r="D755" s="11">
        <v>127103.0911753465</v>
      </c>
    </row>
    <row r="756" spans="2:4" x14ac:dyDescent="0.3">
      <c r="B756" s="11">
        <f t="shared" si="13"/>
        <v>754</v>
      </c>
      <c r="C756" s="11">
        <v>95522.727730204759</v>
      </c>
      <c r="D756" s="11">
        <v>97190.364445347281</v>
      </c>
    </row>
    <row r="757" spans="2:4" x14ac:dyDescent="0.3">
      <c r="B757" s="11">
        <f t="shared" si="13"/>
        <v>755</v>
      </c>
      <c r="C757" s="11">
        <v>72922.59532395209</v>
      </c>
      <c r="D757" s="11">
        <v>72922.59532395209</v>
      </c>
    </row>
    <row r="758" spans="2:4" x14ac:dyDescent="0.3">
      <c r="B758" s="11">
        <f t="shared" si="13"/>
        <v>756</v>
      </c>
      <c r="C758" s="11">
        <v>74309.912301688149</v>
      </c>
      <c r="D758" s="11">
        <v>74309.912301688149</v>
      </c>
    </row>
    <row r="759" spans="2:4" x14ac:dyDescent="0.3">
      <c r="B759" s="11">
        <f t="shared" si="13"/>
        <v>757</v>
      </c>
      <c r="C759" s="11">
        <v>371552.33461137809</v>
      </c>
      <c r="D759" s="11">
        <v>371552.33461137809</v>
      </c>
    </row>
    <row r="760" spans="2:4" x14ac:dyDescent="0.3">
      <c r="B760" s="11">
        <f t="shared" si="13"/>
        <v>758</v>
      </c>
      <c r="C760" s="11">
        <v>237798.06337319766</v>
      </c>
      <c r="D760" s="11">
        <v>237798.06337319766</v>
      </c>
    </row>
    <row r="761" spans="2:4" x14ac:dyDescent="0.3">
      <c r="B761" s="11">
        <f t="shared" si="13"/>
        <v>759</v>
      </c>
      <c r="C761" s="11">
        <v>109145.46700405267</v>
      </c>
      <c r="D761" s="11">
        <v>109145.46700405267</v>
      </c>
    </row>
    <row r="762" spans="2:4" x14ac:dyDescent="0.3">
      <c r="B762" s="11">
        <f t="shared" si="13"/>
        <v>760</v>
      </c>
      <c r="C762" s="11">
        <v>49851.571333398984</v>
      </c>
      <c r="D762" s="11">
        <v>54363.869907733177</v>
      </c>
    </row>
    <row r="763" spans="2:4" x14ac:dyDescent="0.3">
      <c r="B763" s="11">
        <f t="shared" si="13"/>
        <v>761</v>
      </c>
      <c r="C763" s="11">
        <v>105336.91360889873</v>
      </c>
      <c r="D763" s="11">
        <v>105336.91360889873</v>
      </c>
    </row>
    <row r="764" spans="2:4" x14ac:dyDescent="0.3">
      <c r="B764" s="11">
        <f t="shared" si="13"/>
        <v>762</v>
      </c>
      <c r="C764" s="11">
        <v>145209.68433359623</v>
      </c>
      <c r="D764" s="11">
        <v>145209.68433359623</v>
      </c>
    </row>
    <row r="765" spans="2:4" x14ac:dyDescent="0.3">
      <c r="B765" s="11">
        <f t="shared" si="13"/>
        <v>763</v>
      </c>
      <c r="C765" s="11">
        <v>180277.94448350425</v>
      </c>
      <c r="D765" s="11">
        <v>180277.94448350425</v>
      </c>
    </row>
    <row r="766" spans="2:4" x14ac:dyDescent="0.3">
      <c r="B766" s="11">
        <f t="shared" si="13"/>
        <v>764</v>
      </c>
      <c r="C766" s="11">
        <v>165648.59412180781</v>
      </c>
      <c r="D766" s="11">
        <v>165648.59412180781</v>
      </c>
    </row>
    <row r="767" spans="2:4" x14ac:dyDescent="0.3">
      <c r="B767" s="11">
        <f t="shared" si="13"/>
        <v>765</v>
      </c>
      <c r="C767" s="11">
        <v>80209.116380602689</v>
      </c>
      <c r="D767" s="11">
        <v>80209.116380602689</v>
      </c>
    </row>
    <row r="768" spans="2:4" x14ac:dyDescent="0.3">
      <c r="B768" s="11">
        <f t="shared" si="13"/>
        <v>766</v>
      </c>
      <c r="C768" s="11">
        <v>56644.312094878638</v>
      </c>
      <c r="D768" s="11">
        <v>56211.182270937803</v>
      </c>
    </row>
    <row r="769" spans="2:4" x14ac:dyDescent="0.3">
      <c r="B769" s="11">
        <f t="shared" si="13"/>
        <v>767</v>
      </c>
      <c r="C769" s="11">
        <v>83037.334707923423</v>
      </c>
      <c r="D769" s="11">
        <v>83037.334707923423</v>
      </c>
    </row>
    <row r="770" spans="2:4" x14ac:dyDescent="0.3">
      <c r="B770" s="11">
        <f t="shared" si="13"/>
        <v>768</v>
      </c>
      <c r="C770" s="11">
        <v>143971.49917187355</v>
      </c>
      <c r="D770" s="11">
        <v>143971.49917187355</v>
      </c>
    </row>
    <row r="771" spans="2:4" x14ac:dyDescent="0.3">
      <c r="B771" s="11">
        <f t="shared" si="13"/>
        <v>769</v>
      </c>
      <c r="C771" s="11">
        <v>101590.18193300263</v>
      </c>
      <c r="D771" s="11">
        <v>101590.18193300263</v>
      </c>
    </row>
    <row r="772" spans="2:4" x14ac:dyDescent="0.3">
      <c r="B772" s="11">
        <f t="shared" si="13"/>
        <v>770</v>
      </c>
      <c r="C772" s="11">
        <v>75926.962949361405</v>
      </c>
      <c r="D772" s="11">
        <v>75926.962949361405</v>
      </c>
    </row>
    <row r="773" spans="2:4" x14ac:dyDescent="0.3">
      <c r="B773" s="11">
        <f t="shared" ref="B773:B836" si="14">B772+1</f>
        <v>771</v>
      </c>
      <c r="C773" s="11">
        <v>206280.83466994338</v>
      </c>
      <c r="D773" s="11">
        <v>206280.83466994338</v>
      </c>
    </row>
    <row r="774" spans="2:4" x14ac:dyDescent="0.3">
      <c r="B774" s="11">
        <f t="shared" si="14"/>
        <v>772</v>
      </c>
      <c r="C774" s="11">
        <v>144800.58615165806</v>
      </c>
      <c r="D774" s="11">
        <v>144800.58615165806</v>
      </c>
    </row>
    <row r="775" spans="2:4" x14ac:dyDescent="0.3">
      <c r="B775" s="11">
        <f t="shared" si="14"/>
        <v>773</v>
      </c>
      <c r="C775" s="11">
        <v>131452.27413028886</v>
      </c>
      <c r="D775" s="11">
        <v>131452.27413028886</v>
      </c>
    </row>
    <row r="776" spans="2:4" x14ac:dyDescent="0.3">
      <c r="B776" s="11">
        <f t="shared" si="14"/>
        <v>774</v>
      </c>
      <c r="C776" s="11">
        <v>128061.02672217689</v>
      </c>
      <c r="D776" s="11">
        <v>128061.02672217689</v>
      </c>
    </row>
    <row r="777" spans="2:4" x14ac:dyDescent="0.3">
      <c r="B777" s="11">
        <f t="shared" si="14"/>
        <v>775</v>
      </c>
      <c r="C777" s="11">
        <v>105082.79212754671</v>
      </c>
      <c r="D777" s="11">
        <v>105082.79212754671</v>
      </c>
    </row>
    <row r="778" spans="2:4" x14ac:dyDescent="0.3">
      <c r="B778" s="11">
        <f t="shared" si="14"/>
        <v>776</v>
      </c>
      <c r="C778" s="11">
        <v>70874.746474582367</v>
      </c>
      <c r="D778" s="11">
        <v>70874.746474582367</v>
      </c>
    </row>
    <row r="779" spans="2:4" x14ac:dyDescent="0.3">
      <c r="B779" s="11">
        <f t="shared" si="14"/>
        <v>777</v>
      </c>
      <c r="C779" s="11">
        <v>86571.542509665887</v>
      </c>
      <c r="D779" s="11">
        <v>86571.542509665887</v>
      </c>
    </row>
    <row r="780" spans="2:4" x14ac:dyDescent="0.3">
      <c r="B780" s="11">
        <f t="shared" si="14"/>
        <v>778</v>
      </c>
      <c r="C780" s="11">
        <v>75586.590114262246</v>
      </c>
      <c r="D780" s="11">
        <v>75586.590114262246</v>
      </c>
    </row>
    <row r="781" spans="2:4" x14ac:dyDescent="0.3">
      <c r="B781" s="11">
        <f t="shared" si="14"/>
        <v>779</v>
      </c>
      <c r="C781" s="11">
        <v>185324.37139685266</v>
      </c>
      <c r="D781" s="11">
        <v>186658.04772097809</v>
      </c>
    </row>
    <row r="782" spans="2:4" x14ac:dyDescent="0.3">
      <c r="B782" s="11">
        <f t="shared" si="14"/>
        <v>780</v>
      </c>
      <c r="C782" s="11">
        <v>145533.02820949905</v>
      </c>
      <c r="D782" s="11">
        <v>145533.02820949905</v>
      </c>
    </row>
    <row r="783" spans="2:4" x14ac:dyDescent="0.3">
      <c r="B783" s="11">
        <f t="shared" si="14"/>
        <v>781</v>
      </c>
      <c r="C783" s="11">
        <v>178508.75545063653</v>
      </c>
      <c r="D783" s="11">
        <v>178508.75545063653</v>
      </c>
    </row>
    <row r="784" spans="2:4" x14ac:dyDescent="0.3">
      <c r="B784" s="11">
        <f t="shared" si="14"/>
        <v>782</v>
      </c>
      <c r="C784" s="11">
        <v>93363.733450559768</v>
      </c>
      <c r="D784" s="11">
        <v>93363.733450559768</v>
      </c>
    </row>
    <row r="785" spans="2:4" x14ac:dyDescent="0.3">
      <c r="B785" s="11">
        <f t="shared" si="14"/>
        <v>783</v>
      </c>
      <c r="C785" s="11">
        <v>99158.983150155022</v>
      </c>
      <c r="D785" s="11">
        <v>99158.983150155022</v>
      </c>
    </row>
    <row r="786" spans="2:4" x14ac:dyDescent="0.3">
      <c r="B786" s="11">
        <f t="shared" si="14"/>
        <v>784</v>
      </c>
      <c r="C786" s="11">
        <v>95459.568436102127</v>
      </c>
      <c r="D786" s="11">
        <v>95459.568436102127</v>
      </c>
    </row>
    <row r="787" spans="2:4" x14ac:dyDescent="0.3">
      <c r="B787" s="11">
        <f t="shared" si="14"/>
        <v>785</v>
      </c>
      <c r="C787" s="11">
        <v>96133.645562662015</v>
      </c>
      <c r="D787" s="11">
        <v>96133.645562662015</v>
      </c>
    </row>
    <row r="788" spans="2:4" x14ac:dyDescent="0.3">
      <c r="B788" s="11">
        <f t="shared" si="14"/>
        <v>786</v>
      </c>
      <c r="C788" s="11">
        <v>113486.68045293793</v>
      </c>
      <c r="D788" s="11">
        <v>113486.68045293793</v>
      </c>
    </row>
    <row r="789" spans="2:4" x14ac:dyDescent="0.3">
      <c r="B789" s="11">
        <f t="shared" si="14"/>
        <v>787</v>
      </c>
      <c r="C789" s="11">
        <v>103990.07228901463</v>
      </c>
      <c r="D789" s="11">
        <v>103990.07228901463</v>
      </c>
    </row>
    <row r="790" spans="2:4" x14ac:dyDescent="0.3">
      <c r="B790" s="11">
        <f t="shared" si="14"/>
        <v>788</v>
      </c>
      <c r="C790" s="11">
        <v>73400.537295421775</v>
      </c>
      <c r="D790" s="11">
        <v>73400.537295421775</v>
      </c>
    </row>
    <row r="791" spans="2:4" x14ac:dyDescent="0.3">
      <c r="B791" s="11">
        <f t="shared" si="14"/>
        <v>789</v>
      </c>
      <c r="C791" s="11">
        <v>79043.032825157628</v>
      </c>
      <c r="D791" s="11">
        <v>79043.032825157628</v>
      </c>
    </row>
    <row r="792" spans="2:4" x14ac:dyDescent="0.3">
      <c r="B792" s="11">
        <f t="shared" si="14"/>
        <v>790</v>
      </c>
      <c r="C792" s="11">
        <v>107531.91005132707</v>
      </c>
      <c r="D792" s="11">
        <v>107531.91005132707</v>
      </c>
    </row>
    <row r="793" spans="2:4" x14ac:dyDescent="0.3">
      <c r="B793" s="11">
        <f t="shared" si="14"/>
        <v>791</v>
      </c>
      <c r="C793" s="11">
        <v>94503.811399811617</v>
      </c>
      <c r="D793" s="11">
        <v>94503.811399811617</v>
      </c>
    </row>
    <row r="794" spans="2:4" x14ac:dyDescent="0.3">
      <c r="B794" s="11">
        <f t="shared" si="14"/>
        <v>792</v>
      </c>
      <c r="C794" s="11">
        <v>114899.21248958792</v>
      </c>
      <c r="D794" s="11">
        <v>114899.21248958792</v>
      </c>
    </row>
    <row r="795" spans="2:4" x14ac:dyDescent="0.3">
      <c r="B795" s="11">
        <f t="shared" si="14"/>
        <v>793</v>
      </c>
      <c r="C795" s="11">
        <v>123579.39644656661</v>
      </c>
      <c r="D795" s="11">
        <v>123579.39644656661</v>
      </c>
    </row>
    <row r="796" spans="2:4" x14ac:dyDescent="0.3">
      <c r="B796" s="11">
        <f t="shared" si="14"/>
        <v>794</v>
      </c>
      <c r="C796" s="11">
        <v>74285.601011842926</v>
      </c>
      <c r="D796" s="11">
        <v>74285.601011842926</v>
      </c>
    </row>
    <row r="797" spans="2:4" x14ac:dyDescent="0.3">
      <c r="B797" s="11">
        <f t="shared" si="14"/>
        <v>795</v>
      </c>
      <c r="C797" s="11">
        <v>85809.293306704829</v>
      </c>
      <c r="D797" s="11">
        <v>85809.293306704829</v>
      </c>
    </row>
    <row r="798" spans="2:4" x14ac:dyDescent="0.3">
      <c r="B798" s="11">
        <f t="shared" si="14"/>
        <v>796</v>
      </c>
      <c r="C798" s="11">
        <v>58798.678724219928</v>
      </c>
      <c r="D798" s="11">
        <v>58798.678724219928</v>
      </c>
    </row>
    <row r="799" spans="2:4" x14ac:dyDescent="0.3">
      <c r="B799" s="11">
        <f t="shared" si="14"/>
        <v>797</v>
      </c>
      <c r="C799" s="11">
        <v>99142.93387204266</v>
      </c>
      <c r="D799" s="11">
        <v>99142.93387204266</v>
      </c>
    </row>
    <row r="800" spans="2:4" x14ac:dyDescent="0.3">
      <c r="B800" s="11">
        <f t="shared" si="14"/>
        <v>798</v>
      </c>
      <c r="C800" s="11">
        <v>104973.51813079034</v>
      </c>
      <c r="D800" s="11">
        <v>104973.51813079034</v>
      </c>
    </row>
    <row r="801" spans="2:4" x14ac:dyDescent="0.3">
      <c r="B801" s="11">
        <f t="shared" si="14"/>
        <v>799</v>
      </c>
      <c r="C801" s="11">
        <v>100822.15262365427</v>
      </c>
      <c r="D801" s="11">
        <v>100822.15262365427</v>
      </c>
    </row>
    <row r="802" spans="2:4" x14ac:dyDescent="0.3">
      <c r="B802" s="11">
        <f t="shared" si="14"/>
        <v>800</v>
      </c>
      <c r="C802" s="11">
        <v>67444.53580277173</v>
      </c>
      <c r="D802" s="11">
        <v>67444.53580277173</v>
      </c>
    </row>
    <row r="803" spans="2:4" x14ac:dyDescent="0.3">
      <c r="B803" s="11">
        <f t="shared" si="14"/>
        <v>801</v>
      </c>
      <c r="C803" s="11">
        <v>77902.686933978679</v>
      </c>
      <c r="D803" s="11">
        <v>77796.104392688401</v>
      </c>
    </row>
    <row r="804" spans="2:4" x14ac:dyDescent="0.3">
      <c r="B804" s="11">
        <f t="shared" si="14"/>
        <v>802</v>
      </c>
      <c r="C804" s="11">
        <v>70302.399139365021</v>
      </c>
      <c r="D804" s="11">
        <v>70302.399139365021</v>
      </c>
    </row>
    <row r="805" spans="2:4" x14ac:dyDescent="0.3">
      <c r="B805" s="11">
        <f t="shared" si="14"/>
        <v>803</v>
      </c>
      <c r="C805" s="11">
        <v>63146.00475181287</v>
      </c>
      <c r="D805" s="11">
        <v>63146.00475181287</v>
      </c>
    </row>
    <row r="806" spans="2:4" x14ac:dyDescent="0.3">
      <c r="B806" s="11">
        <f t="shared" si="14"/>
        <v>804</v>
      </c>
      <c r="C806" s="11">
        <v>103282.13228399382</v>
      </c>
      <c r="D806" s="11">
        <v>103282.13228399382</v>
      </c>
    </row>
    <row r="807" spans="2:4" x14ac:dyDescent="0.3">
      <c r="B807" s="11">
        <f t="shared" si="14"/>
        <v>805</v>
      </c>
      <c r="C807" s="11">
        <v>121009.78081511328</v>
      </c>
      <c r="D807" s="11">
        <v>121009.78081511328</v>
      </c>
    </row>
    <row r="808" spans="2:4" x14ac:dyDescent="0.3">
      <c r="B808" s="11">
        <f t="shared" si="14"/>
        <v>806</v>
      </c>
      <c r="C808" s="11">
        <v>95970.988430518642</v>
      </c>
      <c r="D808" s="11">
        <v>95851.502091474118</v>
      </c>
    </row>
    <row r="809" spans="2:4" x14ac:dyDescent="0.3">
      <c r="B809" s="11">
        <f t="shared" si="14"/>
        <v>807</v>
      </c>
      <c r="C809" s="11">
        <v>72202.88262911413</v>
      </c>
      <c r="D809" s="11">
        <v>72202.88262911413</v>
      </c>
    </row>
    <row r="810" spans="2:4" x14ac:dyDescent="0.3">
      <c r="B810" s="11">
        <f t="shared" si="14"/>
        <v>808</v>
      </c>
      <c r="C810" s="11">
        <v>101893.67509549684</v>
      </c>
      <c r="D810" s="11">
        <v>101893.67509549684</v>
      </c>
    </row>
    <row r="811" spans="2:4" x14ac:dyDescent="0.3">
      <c r="B811" s="11">
        <f t="shared" si="14"/>
        <v>809</v>
      </c>
      <c r="C811" s="11">
        <v>51984.648364921079</v>
      </c>
      <c r="D811" s="11">
        <v>51984.648364921079</v>
      </c>
    </row>
    <row r="812" spans="2:4" x14ac:dyDescent="0.3">
      <c r="B812" s="11">
        <f t="shared" si="14"/>
        <v>810</v>
      </c>
      <c r="C812" s="11">
        <v>74173.053195784625</v>
      </c>
      <c r="D812" s="11">
        <v>74173.053195784625</v>
      </c>
    </row>
    <row r="813" spans="2:4" x14ac:dyDescent="0.3">
      <c r="B813" s="11">
        <f t="shared" si="14"/>
        <v>811</v>
      </c>
      <c r="C813" s="11">
        <v>132088.6177734652</v>
      </c>
      <c r="D813" s="11">
        <v>132088.6177734652</v>
      </c>
    </row>
    <row r="814" spans="2:4" x14ac:dyDescent="0.3">
      <c r="B814" s="11">
        <f t="shared" si="14"/>
        <v>812</v>
      </c>
      <c r="C814" s="11">
        <v>266968.78386705305</v>
      </c>
      <c r="D814" s="11">
        <v>266968.78386705305</v>
      </c>
    </row>
    <row r="815" spans="2:4" x14ac:dyDescent="0.3">
      <c r="B815" s="11">
        <f t="shared" si="14"/>
        <v>813</v>
      </c>
      <c r="C815" s="11">
        <v>75385.696070814563</v>
      </c>
      <c r="D815" s="11">
        <v>75385.696070814563</v>
      </c>
    </row>
    <row r="816" spans="2:4" x14ac:dyDescent="0.3">
      <c r="B816" s="11">
        <f t="shared" si="14"/>
        <v>814</v>
      </c>
      <c r="C816" s="11">
        <v>113544.85320424044</v>
      </c>
      <c r="D816" s="11">
        <v>113544.85320424044</v>
      </c>
    </row>
    <row r="817" spans="2:4" x14ac:dyDescent="0.3">
      <c r="B817" s="11">
        <f t="shared" si="14"/>
        <v>815</v>
      </c>
      <c r="C817" s="11">
        <v>80552.952291343056</v>
      </c>
      <c r="D817" s="11">
        <v>80552.952291343056</v>
      </c>
    </row>
    <row r="818" spans="2:4" x14ac:dyDescent="0.3">
      <c r="B818" s="11">
        <f t="shared" si="14"/>
        <v>816</v>
      </c>
      <c r="C818" s="11">
        <v>65796.368039346969</v>
      </c>
      <c r="D818" s="11">
        <v>65796.368039346969</v>
      </c>
    </row>
    <row r="819" spans="2:4" x14ac:dyDescent="0.3">
      <c r="B819" s="11">
        <f t="shared" si="14"/>
        <v>817</v>
      </c>
      <c r="C819" s="11">
        <v>95672.359307594859</v>
      </c>
      <c r="D819" s="11">
        <v>95672.359307594859</v>
      </c>
    </row>
    <row r="820" spans="2:4" x14ac:dyDescent="0.3">
      <c r="B820" s="11">
        <f t="shared" si="14"/>
        <v>818</v>
      </c>
      <c r="C820" s="11">
        <v>69373.653011486575</v>
      </c>
      <c r="D820" s="11">
        <v>69373.653011486575</v>
      </c>
    </row>
    <row r="821" spans="2:4" x14ac:dyDescent="0.3">
      <c r="B821" s="11">
        <f t="shared" si="14"/>
        <v>819</v>
      </c>
      <c r="C821" s="11">
        <v>84532.559859135697</v>
      </c>
      <c r="D821" s="11">
        <v>84532.559859135697</v>
      </c>
    </row>
    <row r="822" spans="2:4" x14ac:dyDescent="0.3">
      <c r="B822" s="11">
        <f t="shared" si="14"/>
        <v>820</v>
      </c>
      <c r="C822" s="11">
        <v>96116.19197516788</v>
      </c>
      <c r="D822" s="11">
        <v>96116.19197516788</v>
      </c>
    </row>
    <row r="823" spans="2:4" x14ac:dyDescent="0.3">
      <c r="B823" s="11">
        <f t="shared" si="14"/>
        <v>821</v>
      </c>
      <c r="C823" s="11">
        <v>107968.26960488842</v>
      </c>
      <c r="D823" s="11">
        <v>107968.26960488842</v>
      </c>
    </row>
    <row r="824" spans="2:4" x14ac:dyDescent="0.3">
      <c r="B824" s="11">
        <f t="shared" si="14"/>
        <v>822</v>
      </c>
      <c r="C824" s="11">
        <v>146117.36151779513</v>
      </c>
      <c r="D824" s="11">
        <v>146117.36151779513</v>
      </c>
    </row>
    <row r="825" spans="2:4" x14ac:dyDescent="0.3">
      <c r="B825" s="11">
        <f t="shared" si="14"/>
        <v>823</v>
      </c>
      <c r="C825" s="11">
        <v>127046.61827909554</v>
      </c>
      <c r="D825" s="11">
        <v>127046.61827909554</v>
      </c>
    </row>
    <row r="826" spans="2:4" x14ac:dyDescent="0.3">
      <c r="B826" s="11">
        <f t="shared" si="14"/>
        <v>824</v>
      </c>
      <c r="C826" s="11">
        <v>93426.183852584363</v>
      </c>
      <c r="D826" s="11">
        <v>90269.276887709333</v>
      </c>
    </row>
    <row r="827" spans="2:4" x14ac:dyDescent="0.3">
      <c r="B827" s="11">
        <f t="shared" si="14"/>
        <v>825</v>
      </c>
      <c r="C827" s="11">
        <v>130636.37510825461</v>
      </c>
      <c r="D827" s="11">
        <v>131407.94633603896</v>
      </c>
    </row>
    <row r="828" spans="2:4" x14ac:dyDescent="0.3">
      <c r="B828" s="11">
        <f t="shared" si="14"/>
        <v>826</v>
      </c>
      <c r="C828" s="11">
        <v>159545.19828378741</v>
      </c>
      <c r="D828" s="11">
        <v>159545.19828378741</v>
      </c>
    </row>
    <row r="829" spans="2:4" x14ac:dyDescent="0.3">
      <c r="B829" s="11">
        <f t="shared" si="14"/>
        <v>827</v>
      </c>
      <c r="C829" s="11">
        <v>132231.12647852767</v>
      </c>
      <c r="D829" s="11">
        <v>132231.12647852767</v>
      </c>
    </row>
    <row r="830" spans="2:4" x14ac:dyDescent="0.3">
      <c r="B830" s="11">
        <f t="shared" si="14"/>
        <v>828</v>
      </c>
      <c r="C830" s="11">
        <v>95680.050537792995</v>
      </c>
      <c r="D830" s="11">
        <v>95680.050537792995</v>
      </c>
    </row>
    <row r="831" spans="2:4" x14ac:dyDescent="0.3">
      <c r="B831" s="11">
        <f t="shared" si="14"/>
        <v>829</v>
      </c>
      <c r="C831" s="11">
        <v>187649.33003433776</v>
      </c>
      <c r="D831" s="11">
        <v>187649.33003433776</v>
      </c>
    </row>
    <row r="832" spans="2:4" x14ac:dyDescent="0.3">
      <c r="B832" s="11">
        <f t="shared" si="14"/>
        <v>830</v>
      </c>
      <c r="C832" s="11">
        <v>111095.4626459406</v>
      </c>
      <c r="D832" s="11">
        <v>111095.4626459406</v>
      </c>
    </row>
    <row r="833" spans="2:4" x14ac:dyDescent="0.3">
      <c r="B833" s="11">
        <f t="shared" si="14"/>
        <v>831</v>
      </c>
      <c r="C833" s="11">
        <v>95864.492381012737</v>
      </c>
      <c r="D833" s="11">
        <v>95864.492381012737</v>
      </c>
    </row>
    <row r="834" spans="2:4" x14ac:dyDescent="0.3">
      <c r="B834" s="11">
        <f t="shared" si="14"/>
        <v>832</v>
      </c>
      <c r="C834" s="11">
        <v>104331.93250467884</v>
      </c>
      <c r="D834" s="11">
        <v>104331.93250467884</v>
      </c>
    </row>
    <row r="835" spans="2:4" x14ac:dyDescent="0.3">
      <c r="B835" s="11">
        <f t="shared" si="14"/>
        <v>833</v>
      </c>
      <c r="C835" s="11">
        <v>83569.47757049599</v>
      </c>
      <c r="D835" s="11">
        <v>78718.798803675061</v>
      </c>
    </row>
    <row r="836" spans="2:4" x14ac:dyDescent="0.3">
      <c r="B836" s="11">
        <f t="shared" si="14"/>
        <v>834</v>
      </c>
      <c r="C836" s="11">
        <v>247379.31245300782</v>
      </c>
      <c r="D836" s="11">
        <v>247379.31245300782</v>
      </c>
    </row>
    <row r="837" spans="2:4" x14ac:dyDescent="0.3">
      <c r="B837" s="11">
        <f t="shared" ref="B837:B900" si="15">B836+1</f>
        <v>835</v>
      </c>
      <c r="C837" s="11">
        <v>108094.45806186857</v>
      </c>
      <c r="D837" s="11">
        <v>108094.45806186857</v>
      </c>
    </row>
    <row r="838" spans="2:4" x14ac:dyDescent="0.3">
      <c r="B838" s="11">
        <f t="shared" si="15"/>
        <v>836</v>
      </c>
      <c r="C838" s="11">
        <v>96590.946485237509</v>
      </c>
      <c r="D838" s="11">
        <v>96590.946485237509</v>
      </c>
    </row>
    <row r="839" spans="2:4" x14ac:dyDescent="0.3">
      <c r="B839" s="11">
        <f t="shared" si="15"/>
        <v>837</v>
      </c>
      <c r="C839" s="11">
        <v>127809.25997675814</v>
      </c>
      <c r="D839" s="11">
        <v>127809.25997675814</v>
      </c>
    </row>
    <row r="840" spans="2:4" x14ac:dyDescent="0.3">
      <c r="B840" s="11">
        <f t="shared" si="15"/>
        <v>838</v>
      </c>
      <c r="C840" s="11">
        <v>73705.378657986206</v>
      </c>
      <c r="D840" s="11">
        <v>73705.378657986206</v>
      </c>
    </row>
    <row r="841" spans="2:4" x14ac:dyDescent="0.3">
      <c r="B841" s="11">
        <f t="shared" si="15"/>
        <v>839</v>
      </c>
      <c r="C841" s="11">
        <v>233115.23013053092</v>
      </c>
      <c r="D841" s="11">
        <v>233115.23013053092</v>
      </c>
    </row>
    <row r="842" spans="2:4" x14ac:dyDescent="0.3">
      <c r="B842" s="11">
        <f t="shared" si="15"/>
        <v>840</v>
      </c>
      <c r="C842" s="11">
        <v>68749.460636914228</v>
      </c>
      <c r="D842" s="11">
        <v>68749.460636914228</v>
      </c>
    </row>
    <row r="843" spans="2:4" x14ac:dyDescent="0.3">
      <c r="B843" s="11">
        <f t="shared" si="15"/>
        <v>841</v>
      </c>
      <c r="C843" s="11">
        <v>123691.79564796727</v>
      </c>
      <c r="D843" s="11">
        <v>137844.42184180944</v>
      </c>
    </row>
    <row r="844" spans="2:4" x14ac:dyDescent="0.3">
      <c r="B844" s="11">
        <f t="shared" si="15"/>
        <v>842</v>
      </c>
      <c r="C844" s="11">
        <v>97017.632194516904</v>
      </c>
      <c r="D844" s="11">
        <v>97017.632194516904</v>
      </c>
    </row>
    <row r="845" spans="2:4" x14ac:dyDescent="0.3">
      <c r="B845" s="11">
        <f t="shared" si="15"/>
        <v>843</v>
      </c>
      <c r="C845" s="11">
        <v>110910.38409795049</v>
      </c>
      <c r="D845" s="11">
        <v>111492.45636928579</v>
      </c>
    </row>
    <row r="846" spans="2:4" x14ac:dyDescent="0.3">
      <c r="B846" s="11">
        <f t="shared" si="15"/>
        <v>844</v>
      </c>
      <c r="C846" s="11">
        <v>187158.26051756632</v>
      </c>
      <c r="D846" s="11">
        <v>187158.26051756632</v>
      </c>
    </row>
    <row r="847" spans="2:4" x14ac:dyDescent="0.3">
      <c r="B847" s="11">
        <f t="shared" si="15"/>
        <v>845</v>
      </c>
      <c r="C847" s="11">
        <v>73503.549508156211</v>
      </c>
      <c r="D847" s="11">
        <v>73503.549508156211</v>
      </c>
    </row>
    <row r="848" spans="2:4" x14ac:dyDescent="0.3">
      <c r="B848" s="11">
        <f t="shared" si="15"/>
        <v>846</v>
      </c>
      <c r="C848" s="11">
        <v>82743.359547202432</v>
      </c>
      <c r="D848" s="11">
        <v>82743.359547202432</v>
      </c>
    </row>
    <row r="849" spans="2:4" x14ac:dyDescent="0.3">
      <c r="B849" s="11">
        <f t="shared" si="15"/>
        <v>847</v>
      </c>
      <c r="C849" s="11">
        <v>89692.901205284696</v>
      </c>
      <c r="D849" s="11">
        <v>89692.901205284696</v>
      </c>
    </row>
    <row r="850" spans="2:4" x14ac:dyDescent="0.3">
      <c r="B850" s="11">
        <f t="shared" si="15"/>
        <v>848</v>
      </c>
      <c r="C850" s="11">
        <v>82573.166294804803</v>
      </c>
      <c r="D850" s="11">
        <v>82573.166294804803</v>
      </c>
    </row>
    <row r="851" spans="2:4" x14ac:dyDescent="0.3">
      <c r="B851" s="11">
        <f t="shared" si="15"/>
        <v>849</v>
      </c>
      <c r="C851" s="11">
        <v>96532.577517728729</v>
      </c>
      <c r="D851" s="11">
        <v>96532.577517728729</v>
      </c>
    </row>
    <row r="852" spans="2:4" x14ac:dyDescent="0.3">
      <c r="B852" s="11">
        <f t="shared" si="15"/>
        <v>850</v>
      </c>
      <c r="C852" s="11">
        <v>117608.95688999482</v>
      </c>
      <c r="D852" s="11">
        <v>117608.95688999482</v>
      </c>
    </row>
    <row r="853" spans="2:4" x14ac:dyDescent="0.3">
      <c r="B853" s="11">
        <f t="shared" si="15"/>
        <v>851</v>
      </c>
      <c r="C853" s="11">
        <v>98140.859339437025</v>
      </c>
      <c r="D853" s="11">
        <v>98140.859339437025</v>
      </c>
    </row>
    <row r="854" spans="2:4" x14ac:dyDescent="0.3">
      <c r="B854" s="11">
        <f t="shared" si="15"/>
        <v>852</v>
      </c>
      <c r="C854" s="11">
        <v>142541.05505470082</v>
      </c>
      <c r="D854" s="11">
        <v>142541.05505470082</v>
      </c>
    </row>
    <row r="855" spans="2:4" x14ac:dyDescent="0.3">
      <c r="B855" s="11">
        <f t="shared" si="15"/>
        <v>853</v>
      </c>
      <c r="C855" s="11">
        <v>66463.232773517462</v>
      </c>
      <c r="D855" s="11">
        <v>66463.232773517462</v>
      </c>
    </row>
    <row r="856" spans="2:4" x14ac:dyDescent="0.3">
      <c r="B856" s="11">
        <f t="shared" si="15"/>
        <v>854</v>
      </c>
      <c r="C856" s="11">
        <v>91620.196788893241</v>
      </c>
      <c r="D856" s="11">
        <v>91620.196788893241</v>
      </c>
    </row>
    <row r="857" spans="2:4" x14ac:dyDescent="0.3">
      <c r="B857" s="11">
        <f t="shared" si="15"/>
        <v>855</v>
      </c>
      <c r="C857" s="11">
        <v>94677.205502168901</v>
      </c>
      <c r="D857" s="11">
        <v>94677.205502168901</v>
      </c>
    </row>
    <row r="858" spans="2:4" x14ac:dyDescent="0.3">
      <c r="B858" s="11">
        <f t="shared" si="15"/>
        <v>856</v>
      </c>
      <c r="C858" s="11">
        <v>176808.24714793111</v>
      </c>
      <c r="D858" s="11">
        <v>176808.24714793111</v>
      </c>
    </row>
    <row r="859" spans="2:4" x14ac:dyDescent="0.3">
      <c r="B859" s="11">
        <f t="shared" si="15"/>
        <v>857</v>
      </c>
      <c r="C859" s="11">
        <v>74817.46322911825</v>
      </c>
      <c r="D859" s="11">
        <v>74817.46322911825</v>
      </c>
    </row>
    <row r="860" spans="2:4" x14ac:dyDescent="0.3">
      <c r="B860" s="11">
        <f t="shared" si="15"/>
        <v>858</v>
      </c>
      <c r="C860" s="11">
        <v>46802.406680005195</v>
      </c>
      <c r="D860" s="11">
        <v>46802.406680005195</v>
      </c>
    </row>
    <row r="861" spans="2:4" x14ac:dyDescent="0.3">
      <c r="B861" s="11">
        <f t="shared" si="15"/>
        <v>859</v>
      </c>
      <c r="C861" s="11">
        <v>124149.32946779873</v>
      </c>
      <c r="D861" s="11">
        <v>125509.30122174203</v>
      </c>
    </row>
    <row r="862" spans="2:4" x14ac:dyDescent="0.3">
      <c r="B862" s="11">
        <f t="shared" si="15"/>
        <v>860</v>
      </c>
      <c r="C862" s="11">
        <v>150931.1123859486</v>
      </c>
      <c r="D862" s="11">
        <v>150931.1123859486</v>
      </c>
    </row>
    <row r="863" spans="2:4" x14ac:dyDescent="0.3">
      <c r="B863" s="11">
        <f t="shared" si="15"/>
        <v>861</v>
      </c>
      <c r="C863" s="11">
        <v>162811.32728533936</v>
      </c>
      <c r="D863" s="11">
        <v>162811.32728533936</v>
      </c>
    </row>
    <row r="864" spans="2:4" x14ac:dyDescent="0.3">
      <c r="B864" s="11">
        <f t="shared" si="15"/>
        <v>862</v>
      </c>
      <c r="C864" s="11">
        <v>87522.057534280873</v>
      </c>
      <c r="D864" s="11">
        <v>87522.057534280873</v>
      </c>
    </row>
    <row r="865" spans="2:4" x14ac:dyDescent="0.3">
      <c r="B865" s="11">
        <f t="shared" si="15"/>
        <v>863</v>
      </c>
      <c r="C865" s="11">
        <v>85782.512743879473</v>
      </c>
      <c r="D865" s="11">
        <v>85782.512743879473</v>
      </c>
    </row>
    <row r="866" spans="2:4" x14ac:dyDescent="0.3">
      <c r="B866" s="11">
        <f t="shared" si="15"/>
        <v>864</v>
      </c>
      <c r="C866" s="11">
        <v>109746.35332554972</v>
      </c>
      <c r="D866" s="11">
        <v>109315.19927722665</v>
      </c>
    </row>
    <row r="867" spans="2:4" x14ac:dyDescent="0.3">
      <c r="B867" s="11">
        <f t="shared" si="15"/>
        <v>865</v>
      </c>
      <c r="C867" s="11">
        <v>76650.871167804769</v>
      </c>
      <c r="D867" s="11">
        <v>76202.6156779218</v>
      </c>
    </row>
    <row r="868" spans="2:4" x14ac:dyDescent="0.3">
      <c r="B868" s="11">
        <f t="shared" si="15"/>
        <v>866</v>
      </c>
      <c r="C868" s="11">
        <v>60344.571587320104</v>
      </c>
      <c r="D868" s="11">
        <v>59535.553500066322</v>
      </c>
    </row>
    <row r="869" spans="2:4" x14ac:dyDescent="0.3">
      <c r="B869" s="11">
        <f t="shared" si="15"/>
        <v>867</v>
      </c>
      <c r="C869" s="11">
        <v>106591.34352751051</v>
      </c>
      <c r="D869" s="11">
        <v>106591.34352751051</v>
      </c>
    </row>
    <row r="870" spans="2:4" x14ac:dyDescent="0.3">
      <c r="B870" s="11">
        <f t="shared" si="15"/>
        <v>868</v>
      </c>
      <c r="C870" s="11">
        <v>76666.632541365936</v>
      </c>
      <c r="D870" s="11">
        <v>76666.632541365936</v>
      </c>
    </row>
    <row r="871" spans="2:4" x14ac:dyDescent="0.3">
      <c r="B871" s="11">
        <f t="shared" si="15"/>
        <v>869</v>
      </c>
      <c r="C871" s="11">
        <v>119838.49163766373</v>
      </c>
      <c r="D871" s="11">
        <v>119838.49163766373</v>
      </c>
    </row>
    <row r="872" spans="2:4" x14ac:dyDescent="0.3">
      <c r="B872" s="11">
        <f t="shared" si="15"/>
        <v>870</v>
      </c>
      <c r="C872" s="11">
        <v>69097.612147129679</v>
      </c>
      <c r="D872" s="11">
        <v>69097.612147129679</v>
      </c>
    </row>
    <row r="873" spans="2:4" x14ac:dyDescent="0.3">
      <c r="B873" s="11">
        <f t="shared" si="15"/>
        <v>871</v>
      </c>
      <c r="C873" s="11">
        <v>103169.17547330805</v>
      </c>
      <c r="D873" s="11">
        <v>103169.17547330805</v>
      </c>
    </row>
    <row r="874" spans="2:4" x14ac:dyDescent="0.3">
      <c r="B874" s="11">
        <f t="shared" si="15"/>
        <v>872</v>
      </c>
      <c r="C874" s="11">
        <v>225809.92334975317</v>
      </c>
      <c r="D874" s="11">
        <v>225809.92334975317</v>
      </c>
    </row>
    <row r="875" spans="2:4" x14ac:dyDescent="0.3">
      <c r="B875" s="11">
        <f t="shared" si="15"/>
        <v>873</v>
      </c>
      <c r="C875" s="11">
        <v>82592.691968900064</v>
      </c>
      <c r="D875" s="11">
        <v>82592.691968900064</v>
      </c>
    </row>
    <row r="876" spans="2:4" x14ac:dyDescent="0.3">
      <c r="B876" s="11">
        <f t="shared" si="15"/>
        <v>874</v>
      </c>
      <c r="C876" s="11">
        <v>86768.375126777435</v>
      </c>
      <c r="D876" s="11">
        <v>86768.375126777435</v>
      </c>
    </row>
    <row r="877" spans="2:4" x14ac:dyDescent="0.3">
      <c r="B877" s="11">
        <f t="shared" si="15"/>
        <v>875</v>
      </c>
      <c r="C877" s="11">
        <v>111397.16513027948</v>
      </c>
      <c r="D877" s="11">
        <v>109100.56973606232</v>
      </c>
    </row>
    <row r="878" spans="2:4" x14ac:dyDescent="0.3">
      <c r="B878" s="11">
        <f t="shared" si="15"/>
        <v>876</v>
      </c>
      <c r="C878" s="11">
        <v>64642.032248504278</v>
      </c>
      <c r="D878" s="11">
        <v>64642.032248504278</v>
      </c>
    </row>
    <row r="879" spans="2:4" x14ac:dyDescent="0.3">
      <c r="B879" s="11">
        <f t="shared" si="15"/>
        <v>877</v>
      </c>
      <c r="C879" s="11">
        <v>197258.12562146049</v>
      </c>
      <c r="D879" s="11">
        <v>197258.12562146049</v>
      </c>
    </row>
    <row r="880" spans="2:4" x14ac:dyDescent="0.3">
      <c r="B880" s="11">
        <f t="shared" si="15"/>
        <v>878</v>
      </c>
      <c r="C880" s="11">
        <v>56964.343790712774</v>
      </c>
      <c r="D880" s="11">
        <v>56964.343790712774</v>
      </c>
    </row>
    <row r="881" spans="2:4" x14ac:dyDescent="0.3">
      <c r="B881" s="11">
        <f t="shared" si="15"/>
        <v>879</v>
      </c>
      <c r="C881" s="11">
        <v>98501.0737032014</v>
      </c>
      <c r="D881" s="11">
        <v>98501.0737032014</v>
      </c>
    </row>
    <row r="882" spans="2:4" x14ac:dyDescent="0.3">
      <c r="B882" s="11">
        <f t="shared" si="15"/>
        <v>880</v>
      </c>
      <c r="C882" s="11">
        <v>116524.72879919098</v>
      </c>
      <c r="D882" s="11">
        <v>116524.72879919098</v>
      </c>
    </row>
    <row r="883" spans="2:4" x14ac:dyDescent="0.3">
      <c r="B883" s="11">
        <f t="shared" si="15"/>
        <v>881</v>
      </c>
      <c r="C883" s="11">
        <v>148086.27787411649</v>
      </c>
      <c r="D883" s="11">
        <v>148086.27787411649</v>
      </c>
    </row>
    <row r="884" spans="2:4" x14ac:dyDescent="0.3">
      <c r="B884" s="11">
        <f t="shared" si="15"/>
        <v>882</v>
      </c>
      <c r="C884" s="11">
        <v>84567.755941702068</v>
      </c>
      <c r="D884" s="11">
        <v>84567.755941702068</v>
      </c>
    </row>
    <row r="885" spans="2:4" x14ac:dyDescent="0.3">
      <c r="B885" s="11">
        <f t="shared" si="15"/>
        <v>883</v>
      </c>
      <c r="C885" s="11">
        <v>76675.069462581232</v>
      </c>
      <c r="D885" s="11">
        <v>76267.450100831615</v>
      </c>
    </row>
    <row r="886" spans="2:4" x14ac:dyDescent="0.3">
      <c r="B886" s="11">
        <f t="shared" si="15"/>
        <v>884</v>
      </c>
      <c r="C886" s="11">
        <v>111963.43999658419</v>
      </c>
      <c r="D886" s="11">
        <v>111963.43999658419</v>
      </c>
    </row>
    <row r="887" spans="2:4" x14ac:dyDescent="0.3">
      <c r="B887" s="11">
        <f t="shared" si="15"/>
        <v>885</v>
      </c>
      <c r="C887" s="11">
        <v>96679.858733217276</v>
      </c>
      <c r="D887" s="11">
        <v>96679.858733217276</v>
      </c>
    </row>
    <row r="888" spans="2:4" x14ac:dyDescent="0.3">
      <c r="B888" s="11">
        <f t="shared" si="15"/>
        <v>886</v>
      </c>
      <c r="C888" s="11">
        <v>108343.70509660621</v>
      </c>
      <c r="D888" s="11">
        <v>108343.70509660621</v>
      </c>
    </row>
    <row r="889" spans="2:4" x14ac:dyDescent="0.3">
      <c r="B889" s="11">
        <f t="shared" si="15"/>
        <v>887</v>
      </c>
      <c r="C889" s="11">
        <v>61782.299182521128</v>
      </c>
      <c r="D889" s="11">
        <v>61782.299182521128</v>
      </c>
    </row>
    <row r="890" spans="2:4" x14ac:dyDescent="0.3">
      <c r="B890" s="11">
        <f t="shared" si="15"/>
        <v>888</v>
      </c>
      <c r="C890" s="11">
        <v>98952.649919625808</v>
      </c>
      <c r="D890" s="11">
        <v>98952.649919625808</v>
      </c>
    </row>
    <row r="891" spans="2:4" x14ac:dyDescent="0.3">
      <c r="B891" s="11">
        <f t="shared" si="15"/>
        <v>889</v>
      </c>
      <c r="C891" s="11">
        <v>242928.33395975383</v>
      </c>
      <c r="D891" s="11">
        <v>242928.33395975383</v>
      </c>
    </row>
    <row r="892" spans="2:4" x14ac:dyDescent="0.3">
      <c r="B892" s="11">
        <f t="shared" si="15"/>
        <v>890</v>
      </c>
      <c r="C892" s="11">
        <v>58968.797349312772</v>
      </c>
      <c r="D892" s="11">
        <v>58968.797349312772</v>
      </c>
    </row>
    <row r="893" spans="2:4" x14ac:dyDescent="0.3">
      <c r="B893" s="11">
        <f t="shared" si="15"/>
        <v>891</v>
      </c>
      <c r="C893" s="11">
        <v>95637.114704415362</v>
      </c>
      <c r="D893" s="11">
        <v>95637.114704415362</v>
      </c>
    </row>
    <row r="894" spans="2:4" x14ac:dyDescent="0.3">
      <c r="B894" s="11">
        <f t="shared" si="15"/>
        <v>892</v>
      </c>
      <c r="C894" s="11">
        <v>117843.84041669665</v>
      </c>
      <c r="D894" s="11">
        <v>117843.84041669665</v>
      </c>
    </row>
    <row r="895" spans="2:4" x14ac:dyDescent="0.3">
      <c r="B895" s="11">
        <f t="shared" si="15"/>
        <v>893</v>
      </c>
      <c r="C895" s="11">
        <v>78397.111450385273</v>
      </c>
      <c r="D895" s="11">
        <v>78397.111450385273</v>
      </c>
    </row>
    <row r="896" spans="2:4" x14ac:dyDescent="0.3">
      <c r="B896" s="11">
        <f t="shared" si="15"/>
        <v>894</v>
      </c>
      <c r="C896" s="11">
        <v>85970.046322920083</v>
      </c>
      <c r="D896" s="11">
        <v>85970.046322920083</v>
      </c>
    </row>
    <row r="897" spans="2:4" x14ac:dyDescent="0.3">
      <c r="B897" s="11">
        <f t="shared" si="15"/>
        <v>895</v>
      </c>
      <c r="C897" s="11">
        <v>128471.83024771615</v>
      </c>
      <c r="D897" s="11">
        <v>128471.83024771615</v>
      </c>
    </row>
    <row r="898" spans="2:4" x14ac:dyDescent="0.3">
      <c r="B898" s="11">
        <f t="shared" si="15"/>
        <v>896</v>
      </c>
      <c r="C898" s="11">
        <v>78730.086593483371</v>
      </c>
      <c r="D898" s="11">
        <v>78730.086593483371</v>
      </c>
    </row>
    <row r="899" spans="2:4" x14ac:dyDescent="0.3">
      <c r="B899" s="11">
        <f t="shared" si="15"/>
        <v>897</v>
      </c>
      <c r="C899" s="11">
        <v>127224.00425065715</v>
      </c>
      <c r="D899" s="11">
        <v>127224.00425065715</v>
      </c>
    </row>
    <row r="900" spans="2:4" x14ac:dyDescent="0.3">
      <c r="B900" s="11">
        <f t="shared" si="15"/>
        <v>898</v>
      </c>
      <c r="C900" s="11">
        <v>63549.553664040941</v>
      </c>
      <c r="D900" s="11">
        <v>63549.553664040941</v>
      </c>
    </row>
    <row r="901" spans="2:4" x14ac:dyDescent="0.3">
      <c r="B901" s="11">
        <f t="shared" ref="B901:B964" si="16">B900+1</f>
        <v>899</v>
      </c>
      <c r="C901" s="11">
        <v>96319.46781894294</v>
      </c>
      <c r="D901" s="11">
        <v>96319.46781894294</v>
      </c>
    </row>
    <row r="902" spans="2:4" x14ac:dyDescent="0.3">
      <c r="B902" s="11">
        <f t="shared" si="16"/>
        <v>900</v>
      </c>
      <c r="C902" s="11">
        <v>53680.948976774111</v>
      </c>
      <c r="D902" s="11">
        <v>52011.434231650011</v>
      </c>
    </row>
    <row r="903" spans="2:4" x14ac:dyDescent="0.3">
      <c r="B903" s="11">
        <f t="shared" si="16"/>
        <v>901</v>
      </c>
      <c r="C903" s="11">
        <v>62798.985995983021</v>
      </c>
      <c r="D903" s="11">
        <v>62798.985995983021</v>
      </c>
    </row>
    <row r="904" spans="2:4" x14ac:dyDescent="0.3">
      <c r="B904" s="11">
        <f t="shared" si="16"/>
        <v>902</v>
      </c>
      <c r="C904" s="11">
        <v>229405.59562895543</v>
      </c>
      <c r="D904" s="11">
        <v>229405.59562895543</v>
      </c>
    </row>
    <row r="905" spans="2:4" x14ac:dyDescent="0.3">
      <c r="B905" s="11">
        <f t="shared" si="16"/>
        <v>903</v>
      </c>
      <c r="C905" s="11">
        <v>143526.02257937525</v>
      </c>
      <c r="D905" s="11">
        <v>143526.02257937525</v>
      </c>
    </row>
    <row r="906" spans="2:4" x14ac:dyDescent="0.3">
      <c r="B906" s="11">
        <f t="shared" si="16"/>
        <v>904</v>
      </c>
      <c r="C906" s="11">
        <v>51699.154511647263</v>
      </c>
      <c r="D906" s="11">
        <v>51699.154511647263</v>
      </c>
    </row>
    <row r="907" spans="2:4" x14ac:dyDescent="0.3">
      <c r="B907" s="11">
        <f t="shared" si="16"/>
        <v>905</v>
      </c>
      <c r="C907" s="11">
        <v>63992.8940443795</v>
      </c>
      <c r="D907" s="11">
        <v>63992.8940443795</v>
      </c>
    </row>
    <row r="908" spans="2:4" x14ac:dyDescent="0.3">
      <c r="B908" s="11">
        <f t="shared" si="16"/>
        <v>906</v>
      </c>
      <c r="C908" s="11">
        <v>165608.72235471962</v>
      </c>
      <c r="D908" s="11">
        <v>165608.72235471962</v>
      </c>
    </row>
    <row r="909" spans="2:4" x14ac:dyDescent="0.3">
      <c r="B909" s="11">
        <f t="shared" si="16"/>
        <v>907</v>
      </c>
      <c r="C909" s="11">
        <v>119040.12786864041</v>
      </c>
      <c r="D909" s="11">
        <v>119040.12786864041</v>
      </c>
    </row>
    <row r="910" spans="2:4" x14ac:dyDescent="0.3">
      <c r="B910" s="11">
        <f t="shared" si="16"/>
        <v>908</v>
      </c>
      <c r="C910" s="11">
        <v>99502.992907045831</v>
      </c>
      <c r="D910" s="11">
        <v>99796.238239452156</v>
      </c>
    </row>
    <row r="911" spans="2:4" x14ac:dyDescent="0.3">
      <c r="B911" s="11">
        <f t="shared" si="16"/>
        <v>909</v>
      </c>
      <c r="C911" s="11">
        <v>58946.211487506807</v>
      </c>
      <c r="D911" s="11">
        <v>58946.211487506807</v>
      </c>
    </row>
    <row r="912" spans="2:4" x14ac:dyDescent="0.3">
      <c r="B912" s="11">
        <f t="shared" si="16"/>
        <v>910</v>
      </c>
      <c r="C912" s="11">
        <v>181444.55519105372</v>
      </c>
      <c r="D912" s="11">
        <v>181444.55519105372</v>
      </c>
    </row>
    <row r="913" spans="2:4" x14ac:dyDescent="0.3">
      <c r="B913" s="11">
        <f t="shared" si="16"/>
        <v>911</v>
      </c>
      <c r="C913" s="11">
        <v>190848.52018933729</v>
      </c>
      <c r="D913" s="11">
        <v>190848.52018933729</v>
      </c>
    </row>
    <row r="914" spans="2:4" x14ac:dyDescent="0.3">
      <c r="B914" s="11">
        <f t="shared" si="16"/>
        <v>912</v>
      </c>
      <c r="C914" s="11">
        <v>104130.72480544442</v>
      </c>
      <c r="D914" s="11">
        <v>104130.72480544442</v>
      </c>
    </row>
    <row r="915" spans="2:4" x14ac:dyDescent="0.3">
      <c r="B915" s="11">
        <f t="shared" si="16"/>
        <v>913</v>
      </c>
      <c r="C915" s="11">
        <v>81561.793413994485</v>
      </c>
      <c r="D915" s="11">
        <v>81561.793413994485</v>
      </c>
    </row>
    <row r="916" spans="2:4" x14ac:dyDescent="0.3">
      <c r="B916" s="11">
        <f t="shared" si="16"/>
        <v>914</v>
      </c>
      <c r="C916" s="11">
        <v>81976.316345960237</v>
      </c>
      <c r="D916" s="11">
        <v>81976.316345960237</v>
      </c>
    </row>
    <row r="917" spans="2:4" x14ac:dyDescent="0.3">
      <c r="B917" s="11">
        <f t="shared" si="16"/>
        <v>915</v>
      </c>
      <c r="C917" s="11">
        <v>155301.52162825424</v>
      </c>
      <c r="D917" s="11">
        <v>155301.52162825424</v>
      </c>
    </row>
    <row r="918" spans="2:4" x14ac:dyDescent="0.3">
      <c r="B918" s="11">
        <f t="shared" si="16"/>
        <v>916</v>
      </c>
      <c r="C918" s="11">
        <v>73198.749956844709</v>
      </c>
      <c r="D918" s="11">
        <v>73198.749956844709</v>
      </c>
    </row>
    <row r="919" spans="2:4" x14ac:dyDescent="0.3">
      <c r="B919" s="11">
        <f t="shared" si="16"/>
        <v>917</v>
      </c>
      <c r="C919" s="11">
        <v>146588.66219042733</v>
      </c>
      <c r="D919" s="11">
        <v>146588.66219042733</v>
      </c>
    </row>
    <row r="920" spans="2:4" x14ac:dyDescent="0.3">
      <c r="B920" s="11">
        <f t="shared" si="16"/>
        <v>918</v>
      </c>
      <c r="C920" s="11">
        <v>140008.96203294699</v>
      </c>
      <c r="D920" s="11">
        <v>140008.96203294699</v>
      </c>
    </row>
    <row r="921" spans="2:4" x14ac:dyDescent="0.3">
      <c r="B921" s="11">
        <f t="shared" si="16"/>
        <v>919</v>
      </c>
      <c r="C921" s="11">
        <v>80269.03962421621</v>
      </c>
      <c r="D921" s="11">
        <v>80269.03962421621</v>
      </c>
    </row>
    <row r="922" spans="2:4" x14ac:dyDescent="0.3">
      <c r="B922" s="11">
        <f t="shared" si="16"/>
        <v>920</v>
      </c>
      <c r="C922" s="11">
        <v>134977.69175845847</v>
      </c>
      <c r="D922" s="11">
        <v>134977.69175845847</v>
      </c>
    </row>
    <row r="923" spans="2:4" x14ac:dyDescent="0.3">
      <c r="B923" s="11">
        <f t="shared" si="16"/>
        <v>921</v>
      </c>
      <c r="C923" s="11">
        <v>114007.32876416499</v>
      </c>
      <c r="D923" s="11">
        <v>114007.32876416499</v>
      </c>
    </row>
    <row r="924" spans="2:4" x14ac:dyDescent="0.3">
      <c r="B924" s="11">
        <f t="shared" si="16"/>
        <v>922</v>
      </c>
      <c r="C924" s="11">
        <v>101200.05923541916</v>
      </c>
      <c r="D924" s="11">
        <v>101045.47453593789</v>
      </c>
    </row>
    <row r="925" spans="2:4" x14ac:dyDescent="0.3">
      <c r="B925" s="11">
        <f t="shared" si="16"/>
        <v>923</v>
      </c>
      <c r="C925" s="11">
        <v>125993.82156801845</v>
      </c>
      <c r="D925" s="11">
        <v>125993.82156801845</v>
      </c>
    </row>
    <row r="926" spans="2:4" x14ac:dyDescent="0.3">
      <c r="B926" s="11">
        <f t="shared" si="16"/>
        <v>924</v>
      </c>
      <c r="C926" s="11">
        <v>87247.82336691166</v>
      </c>
      <c r="D926" s="11">
        <v>81843.589580533386</v>
      </c>
    </row>
    <row r="927" spans="2:4" x14ac:dyDescent="0.3">
      <c r="B927" s="11">
        <f t="shared" si="16"/>
        <v>925</v>
      </c>
      <c r="C927" s="11">
        <v>88546.477241511369</v>
      </c>
      <c r="D927" s="11">
        <v>88546.477241511369</v>
      </c>
    </row>
    <row r="928" spans="2:4" x14ac:dyDescent="0.3">
      <c r="B928" s="11">
        <f t="shared" si="16"/>
        <v>926</v>
      </c>
      <c r="C928" s="11">
        <v>100061.73510398499</v>
      </c>
      <c r="D928" s="11">
        <v>100061.73510398499</v>
      </c>
    </row>
    <row r="929" spans="2:4" x14ac:dyDescent="0.3">
      <c r="B929" s="11">
        <f t="shared" si="16"/>
        <v>927</v>
      </c>
      <c r="C929" s="11">
        <v>84404.433515090976</v>
      </c>
      <c r="D929" s="11">
        <v>84404.433515090976</v>
      </c>
    </row>
    <row r="930" spans="2:4" x14ac:dyDescent="0.3">
      <c r="B930" s="11">
        <f t="shared" si="16"/>
        <v>928</v>
      </c>
      <c r="C930" s="11">
        <v>78605.822814351341</v>
      </c>
      <c r="D930" s="11">
        <v>78605.822814351341</v>
      </c>
    </row>
    <row r="931" spans="2:4" x14ac:dyDescent="0.3">
      <c r="B931" s="11">
        <f t="shared" si="16"/>
        <v>929</v>
      </c>
      <c r="C931" s="11">
        <v>94135.805950167385</v>
      </c>
      <c r="D931" s="11">
        <v>94135.805950167385</v>
      </c>
    </row>
    <row r="932" spans="2:4" x14ac:dyDescent="0.3">
      <c r="B932" s="11">
        <f t="shared" si="16"/>
        <v>930</v>
      </c>
      <c r="C932" s="11">
        <v>83854.275812082735</v>
      </c>
      <c r="D932" s="11">
        <v>83854.275812082735</v>
      </c>
    </row>
    <row r="933" spans="2:4" x14ac:dyDescent="0.3">
      <c r="B933" s="11">
        <f t="shared" si="16"/>
        <v>931</v>
      </c>
      <c r="C933" s="11">
        <v>55217.865435963125</v>
      </c>
      <c r="D933" s="11">
        <v>55217.865435963125</v>
      </c>
    </row>
    <row r="934" spans="2:4" x14ac:dyDescent="0.3">
      <c r="B934" s="11">
        <f t="shared" si="16"/>
        <v>932</v>
      </c>
      <c r="C934" s="11">
        <v>158182.97123464034</v>
      </c>
      <c r="D934" s="11">
        <v>158182.97123464034</v>
      </c>
    </row>
    <row r="935" spans="2:4" x14ac:dyDescent="0.3">
      <c r="B935" s="11">
        <f t="shared" si="16"/>
        <v>933</v>
      </c>
      <c r="C935" s="11">
        <v>136050.60987705286</v>
      </c>
      <c r="D935" s="11">
        <v>136050.60987705286</v>
      </c>
    </row>
    <row r="936" spans="2:4" x14ac:dyDescent="0.3">
      <c r="B936" s="11">
        <f t="shared" si="16"/>
        <v>934</v>
      </c>
      <c r="C936" s="11">
        <v>117260.01738724264</v>
      </c>
      <c r="D936" s="11">
        <v>117260.01738724264</v>
      </c>
    </row>
    <row r="937" spans="2:4" x14ac:dyDescent="0.3">
      <c r="B937" s="11">
        <f t="shared" si="16"/>
        <v>935</v>
      </c>
      <c r="C937" s="11">
        <v>77143.592873700531</v>
      </c>
      <c r="D937" s="11">
        <v>77143.592873700531</v>
      </c>
    </row>
    <row r="938" spans="2:4" x14ac:dyDescent="0.3">
      <c r="B938" s="11">
        <f t="shared" si="16"/>
        <v>936</v>
      </c>
      <c r="C938" s="11">
        <v>135484.02914165266</v>
      </c>
      <c r="D938" s="11">
        <v>135484.02914165266</v>
      </c>
    </row>
    <row r="939" spans="2:4" x14ac:dyDescent="0.3">
      <c r="B939" s="11">
        <f t="shared" si="16"/>
        <v>937</v>
      </c>
      <c r="C939" s="11">
        <v>98371.289214757155</v>
      </c>
      <c r="D939" s="11">
        <v>98371.289214757155</v>
      </c>
    </row>
    <row r="940" spans="2:4" x14ac:dyDescent="0.3">
      <c r="B940" s="11">
        <f t="shared" si="16"/>
        <v>938</v>
      </c>
      <c r="C940" s="11">
        <v>124919.58338499567</v>
      </c>
      <c r="D940" s="11">
        <v>124919.58338499567</v>
      </c>
    </row>
    <row r="941" spans="2:4" x14ac:dyDescent="0.3">
      <c r="B941" s="11">
        <f t="shared" si="16"/>
        <v>939</v>
      </c>
      <c r="C941" s="11">
        <v>117495.10782791719</v>
      </c>
      <c r="D941" s="11">
        <v>117495.10782791719</v>
      </c>
    </row>
    <row r="942" spans="2:4" x14ac:dyDescent="0.3">
      <c r="B942" s="11">
        <f t="shared" si="16"/>
        <v>940</v>
      </c>
      <c r="C942" s="11">
        <v>110779.87266870335</v>
      </c>
      <c r="D942" s="11">
        <v>110779.87266870335</v>
      </c>
    </row>
    <row r="943" spans="2:4" x14ac:dyDescent="0.3">
      <c r="B943" s="11">
        <f t="shared" si="16"/>
        <v>941</v>
      </c>
      <c r="C943" s="11">
        <v>81949.598462439855</v>
      </c>
      <c r="D943" s="11">
        <v>81949.598462439855</v>
      </c>
    </row>
    <row r="944" spans="2:4" x14ac:dyDescent="0.3">
      <c r="B944" s="11">
        <f t="shared" si="16"/>
        <v>942</v>
      </c>
      <c r="C944" s="11">
        <v>121701.34508230803</v>
      </c>
      <c r="D944" s="11">
        <v>121701.34508230803</v>
      </c>
    </row>
    <row r="945" spans="2:4" x14ac:dyDescent="0.3">
      <c r="B945" s="11">
        <f t="shared" si="16"/>
        <v>943</v>
      </c>
      <c r="C945" s="11">
        <v>73397.285242970393</v>
      </c>
      <c r="D945" s="11">
        <v>73397.285242970393</v>
      </c>
    </row>
    <row r="946" spans="2:4" x14ac:dyDescent="0.3">
      <c r="B946" s="11">
        <f t="shared" si="16"/>
        <v>944</v>
      </c>
      <c r="C946" s="11">
        <v>62772.151696237474</v>
      </c>
      <c r="D946" s="11">
        <v>62772.151696237474</v>
      </c>
    </row>
    <row r="947" spans="2:4" x14ac:dyDescent="0.3">
      <c r="B947" s="11">
        <f t="shared" si="16"/>
        <v>945</v>
      </c>
      <c r="C947" s="11">
        <v>106207.0255042483</v>
      </c>
      <c r="D947" s="11">
        <v>106207.0255042483</v>
      </c>
    </row>
    <row r="948" spans="2:4" x14ac:dyDescent="0.3">
      <c r="B948" s="11">
        <f t="shared" si="16"/>
        <v>946</v>
      </c>
      <c r="C948" s="11">
        <v>111021.61740352437</v>
      </c>
      <c r="D948" s="11">
        <v>111021.61740352437</v>
      </c>
    </row>
    <row r="949" spans="2:4" x14ac:dyDescent="0.3">
      <c r="B949" s="11">
        <f t="shared" si="16"/>
        <v>947</v>
      </c>
      <c r="C949" s="11">
        <v>66984.71362031906</v>
      </c>
      <c r="D949" s="11">
        <v>65487.014691935801</v>
      </c>
    </row>
    <row r="950" spans="2:4" x14ac:dyDescent="0.3">
      <c r="B950" s="11">
        <f t="shared" si="16"/>
        <v>948</v>
      </c>
      <c r="C950" s="11">
        <v>168289.85054150692</v>
      </c>
      <c r="D950" s="11">
        <v>167831.65672632639</v>
      </c>
    </row>
    <row r="951" spans="2:4" x14ac:dyDescent="0.3">
      <c r="B951" s="11">
        <f t="shared" si="16"/>
        <v>949</v>
      </c>
      <c r="C951" s="11">
        <v>146236.31400582721</v>
      </c>
      <c r="D951" s="11">
        <v>146236.31400582721</v>
      </c>
    </row>
    <row r="952" spans="2:4" x14ac:dyDescent="0.3">
      <c r="B952" s="11">
        <f t="shared" si="16"/>
        <v>950</v>
      </c>
      <c r="C952" s="11">
        <v>110908.45039835974</v>
      </c>
      <c r="D952" s="11">
        <v>110908.45039835974</v>
      </c>
    </row>
    <row r="953" spans="2:4" x14ac:dyDescent="0.3">
      <c r="B953" s="11">
        <f t="shared" si="16"/>
        <v>951</v>
      </c>
      <c r="C953" s="11">
        <v>105020.15683472136</v>
      </c>
      <c r="D953" s="11">
        <v>105020.15683472136</v>
      </c>
    </row>
    <row r="954" spans="2:4" x14ac:dyDescent="0.3">
      <c r="B954" s="11">
        <f t="shared" si="16"/>
        <v>952</v>
      </c>
      <c r="C954" s="11">
        <v>162745.03361035633</v>
      </c>
      <c r="D954" s="11">
        <v>162745.03361035633</v>
      </c>
    </row>
    <row r="955" spans="2:4" x14ac:dyDescent="0.3">
      <c r="B955" s="11">
        <f t="shared" si="16"/>
        <v>953</v>
      </c>
      <c r="C955" s="11">
        <v>131973.57338341288</v>
      </c>
      <c r="D955" s="11">
        <v>131973.57338341288</v>
      </c>
    </row>
    <row r="956" spans="2:4" x14ac:dyDescent="0.3">
      <c r="B956" s="11">
        <f t="shared" si="16"/>
        <v>954</v>
      </c>
      <c r="C956" s="11">
        <v>33981.685163900635</v>
      </c>
      <c r="D956" s="11">
        <v>33981.685163900635</v>
      </c>
    </row>
    <row r="957" spans="2:4" x14ac:dyDescent="0.3">
      <c r="B957" s="11">
        <f t="shared" si="16"/>
        <v>955</v>
      </c>
      <c r="C957" s="11">
        <v>108790.59794298293</v>
      </c>
      <c r="D957" s="11">
        <v>108790.59794298293</v>
      </c>
    </row>
    <row r="958" spans="2:4" x14ac:dyDescent="0.3">
      <c r="B958" s="11">
        <f t="shared" si="16"/>
        <v>956</v>
      </c>
      <c r="C958" s="11">
        <v>112771.94231209191</v>
      </c>
      <c r="D958" s="11">
        <v>112771.94231209191</v>
      </c>
    </row>
    <row r="959" spans="2:4" x14ac:dyDescent="0.3">
      <c r="B959" s="11">
        <f t="shared" si="16"/>
        <v>957</v>
      </c>
      <c r="C959" s="11">
        <v>77192.268589041312</v>
      </c>
      <c r="D959" s="11">
        <v>77192.268589041312</v>
      </c>
    </row>
    <row r="960" spans="2:4" x14ac:dyDescent="0.3">
      <c r="B960" s="11">
        <f t="shared" si="16"/>
        <v>958</v>
      </c>
      <c r="C960" s="11">
        <v>116477.096429935</v>
      </c>
      <c r="D960" s="11">
        <v>120226.66768582213</v>
      </c>
    </row>
    <row r="961" spans="2:4" x14ac:dyDescent="0.3">
      <c r="B961" s="11">
        <f t="shared" si="16"/>
        <v>959</v>
      </c>
      <c r="C961" s="11">
        <v>76850.564337189862</v>
      </c>
      <c r="D961" s="11">
        <v>75863.636811364267</v>
      </c>
    </row>
    <row r="962" spans="2:4" x14ac:dyDescent="0.3">
      <c r="B962" s="11">
        <f t="shared" si="16"/>
        <v>960</v>
      </c>
      <c r="C962" s="11">
        <v>93655.714975435927</v>
      </c>
      <c r="D962" s="11">
        <v>93655.714975435927</v>
      </c>
    </row>
    <row r="963" spans="2:4" x14ac:dyDescent="0.3">
      <c r="B963" s="11">
        <f t="shared" si="16"/>
        <v>961</v>
      </c>
      <c r="C963" s="11">
        <v>131796.63637296009</v>
      </c>
      <c r="D963" s="11">
        <v>131796.63637296009</v>
      </c>
    </row>
    <row r="964" spans="2:4" x14ac:dyDescent="0.3">
      <c r="B964" s="11">
        <f t="shared" si="16"/>
        <v>962</v>
      </c>
      <c r="C964" s="11">
        <v>195116.13251246084</v>
      </c>
      <c r="D964" s="11">
        <v>195116.13251246084</v>
      </c>
    </row>
    <row r="965" spans="2:4" x14ac:dyDescent="0.3">
      <c r="B965" s="11">
        <f t="shared" ref="B965:B1002" si="17">B964+1</f>
        <v>963</v>
      </c>
      <c r="C965" s="11">
        <v>148642.5106720803</v>
      </c>
      <c r="D965" s="11">
        <v>148642.5106720803</v>
      </c>
    </row>
    <row r="966" spans="2:4" x14ac:dyDescent="0.3">
      <c r="B966" s="11">
        <f t="shared" si="17"/>
        <v>964</v>
      </c>
      <c r="C966" s="11">
        <v>138592.58816055756</v>
      </c>
      <c r="D966" s="11">
        <v>138592.58816055756</v>
      </c>
    </row>
    <row r="967" spans="2:4" x14ac:dyDescent="0.3">
      <c r="B967" s="11">
        <f t="shared" si="17"/>
        <v>965</v>
      </c>
      <c r="C967" s="11">
        <v>93112.434853259678</v>
      </c>
      <c r="D967" s="11">
        <v>93112.434853259678</v>
      </c>
    </row>
    <row r="968" spans="2:4" x14ac:dyDescent="0.3">
      <c r="B968" s="11">
        <f t="shared" si="17"/>
        <v>966</v>
      </c>
      <c r="C968" s="11">
        <v>71434.721203326146</v>
      </c>
      <c r="D968" s="11">
        <v>71434.721203326146</v>
      </c>
    </row>
    <row r="969" spans="2:4" x14ac:dyDescent="0.3">
      <c r="B969" s="11">
        <f t="shared" si="17"/>
        <v>967</v>
      </c>
      <c r="C969" s="11">
        <v>140463.23170370545</v>
      </c>
      <c r="D969" s="11">
        <v>142518.46270583605</v>
      </c>
    </row>
    <row r="970" spans="2:4" x14ac:dyDescent="0.3">
      <c r="B970" s="11">
        <f t="shared" si="17"/>
        <v>968</v>
      </c>
      <c r="C970" s="11">
        <v>134222.06550445745</v>
      </c>
      <c r="D970" s="11">
        <v>134222.06550445745</v>
      </c>
    </row>
    <row r="971" spans="2:4" x14ac:dyDescent="0.3">
      <c r="B971" s="11">
        <f t="shared" si="17"/>
        <v>969</v>
      </c>
      <c r="C971" s="11">
        <v>148193.01346206205</v>
      </c>
      <c r="D971" s="11">
        <v>148193.01346206205</v>
      </c>
    </row>
    <row r="972" spans="2:4" x14ac:dyDescent="0.3">
      <c r="B972" s="11">
        <f t="shared" si="17"/>
        <v>970</v>
      </c>
      <c r="C972" s="11">
        <v>98162.857246604573</v>
      </c>
      <c r="D972" s="11">
        <v>98162.857246604573</v>
      </c>
    </row>
    <row r="973" spans="2:4" x14ac:dyDescent="0.3">
      <c r="B973" s="11">
        <f t="shared" si="17"/>
        <v>971</v>
      </c>
      <c r="C973" s="11">
        <v>114578.53981948519</v>
      </c>
      <c r="D973" s="11">
        <v>114578.53981948519</v>
      </c>
    </row>
    <row r="974" spans="2:4" x14ac:dyDescent="0.3">
      <c r="B974" s="11">
        <f t="shared" si="17"/>
        <v>972</v>
      </c>
      <c r="C974" s="11">
        <v>136639.02332022833</v>
      </c>
      <c r="D974" s="11">
        <v>136639.02332022833</v>
      </c>
    </row>
    <row r="975" spans="2:4" x14ac:dyDescent="0.3">
      <c r="B975" s="11">
        <f t="shared" si="17"/>
        <v>973</v>
      </c>
      <c r="C975" s="11">
        <v>134338.28004797504</v>
      </c>
      <c r="D975" s="11">
        <v>134338.28004797504</v>
      </c>
    </row>
    <row r="976" spans="2:4" x14ac:dyDescent="0.3">
      <c r="B976" s="11">
        <f t="shared" si="17"/>
        <v>974</v>
      </c>
      <c r="C976" s="11">
        <v>129196.17100363338</v>
      </c>
      <c r="D976" s="11">
        <v>129196.17100363338</v>
      </c>
    </row>
    <row r="977" spans="2:4" x14ac:dyDescent="0.3">
      <c r="B977" s="11">
        <f t="shared" si="17"/>
        <v>975</v>
      </c>
      <c r="C977" s="11">
        <v>138598.79943083425</v>
      </c>
      <c r="D977" s="11">
        <v>138598.79943083425</v>
      </c>
    </row>
    <row r="978" spans="2:4" x14ac:dyDescent="0.3">
      <c r="B978" s="11">
        <f t="shared" si="17"/>
        <v>976</v>
      </c>
      <c r="C978" s="11">
        <v>89915.175462965068</v>
      </c>
      <c r="D978" s="11">
        <v>89915.175462965068</v>
      </c>
    </row>
    <row r="979" spans="2:4" x14ac:dyDescent="0.3">
      <c r="B979" s="11">
        <f t="shared" si="17"/>
        <v>977</v>
      </c>
      <c r="C979" s="11">
        <v>139812.68701047346</v>
      </c>
      <c r="D979" s="11">
        <v>139812.68701047346</v>
      </c>
    </row>
    <row r="980" spans="2:4" x14ac:dyDescent="0.3">
      <c r="B980" s="11">
        <f t="shared" si="17"/>
        <v>978</v>
      </c>
      <c r="C980" s="11">
        <v>130601.98211813165</v>
      </c>
      <c r="D980" s="11">
        <v>130601.98211813165</v>
      </c>
    </row>
    <row r="981" spans="2:4" x14ac:dyDescent="0.3">
      <c r="B981" s="11">
        <f t="shared" si="17"/>
        <v>979</v>
      </c>
      <c r="C981" s="11">
        <v>94812.446017811453</v>
      </c>
      <c r="D981" s="11">
        <v>94812.446017811453</v>
      </c>
    </row>
    <row r="982" spans="2:4" x14ac:dyDescent="0.3">
      <c r="B982" s="11">
        <f t="shared" si="17"/>
        <v>980</v>
      </c>
      <c r="C982" s="11">
        <v>87690.278767709562</v>
      </c>
      <c r="D982" s="11">
        <v>87690.278767709562</v>
      </c>
    </row>
    <row r="983" spans="2:4" x14ac:dyDescent="0.3">
      <c r="B983" s="11">
        <f t="shared" si="17"/>
        <v>981</v>
      </c>
      <c r="C983" s="11">
        <v>106391.4236572595</v>
      </c>
      <c r="D983" s="11">
        <v>106391.4236572595</v>
      </c>
    </row>
    <row r="984" spans="2:4" x14ac:dyDescent="0.3">
      <c r="B984" s="11">
        <f t="shared" si="17"/>
        <v>982</v>
      </c>
      <c r="C984" s="11">
        <v>77612.721143304807</v>
      </c>
      <c r="D984" s="11">
        <v>77612.721143304807</v>
      </c>
    </row>
    <row r="985" spans="2:4" x14ac:dyDescent="0.3">
      <c r="B985" s="11">
        <f t="shared" si="17"/>
        <v>983</v>
      </c>
      <c r="C985" s="11">
        <v>77942.372104529422</v>
      </c>
      <c r="D985" s="11">
        <v>62116.718776568581</v>
      </c>
    </row>
    <row r="986" spans="2:4" x14ac:dyDescent="0.3">
      <c r="B986" s="11">
        <f t="shared" si="17"/>
        <v>984</v>
      </c>
      <c r="C986" s="11">
        <v>131572.44119747871</v>
      </c>
      <c r="D986" s="11">
        <v>131572.44119747871</v>
      </c>
    </row>
    <row r="987" spans="2:4" x14ac:dyDescent="0.3">
      <c r="B987" s="11">
        <f t="shared" si="17"/>
        <v>985</v>
      </c>
      <c r="C987" s="11">
        <v>86901.802657286331</v>
      </c>
      <c r="D987" s="11">
        <v>86901.802657286331</v>
      </c>
    </row>
    <row r="988" spans="2:4" x14ac:dyDescent="0.3">
      <c r="B988" s="11">
        <f t="shared" si="17"/>
        <v>986</v>
      </c>
      <c r="C988" s="11">
        <v>119882.4246429194</v>
      </c>
      <c r="D988" s="11">
        <v>119882.4246429194</v>
      </c>
    </row>
    <row r="989" spans="2:4" x14ac:dyDescent="0.3">
      <c r="B989" s="11">
        <f t="shared" si="17"/>
        <v>987</v>
      </c>
      <c r="C989" s="11">
        <v>68631.849704170047</v>
      </c>
      <c r="D989" s="11">
        <v>68631.849704170047</v>
      </c>
    </row>
    <row r="990" spans="2:4" x14ac:dyDescent="0.3">
      <c r="B990" s="11">
        <f t="shared" si="17"/>
        <v>988</v>
      </c>
      <c r="C990" s="11">
        <v>129818.88931051479</v>
      </c>
      <c r="D990" s="11">
        <v>129818.88931051479</v>
      </c>
    </row>
    <row r="991" spans="2:4" x14ac:dyDescent="0.3">
      <c r="B991" s="11">
        <f t="shared" si="17"/>
        <v>989</v>
      </c>
      <c r="C991" s="11">
        <v>56601.673976207589</v>
      </c>
      <c r="D991" s="11">
        <v>56601.673976207589</v>
      </c>
    </row>
    <row r="992" spans="2:4" x14ac:dyDescent="0.3">
      <c r="B992" s="11">
        <f t="shared" si="17"/>
        <v>990</v>
      </c>
      <c r="C992" s="11">
        <v>116286.2283548626</v>
      </c>
      <c r="D992" s="11">
        <v>116286.2283548626</v>
      </c>
    </row>
    <row r="993" spans="2:4" x14ac:dyDescent="0.3">
      <c r="B993" s="11">
        <f t="shared" si="17"/>
        <v>991</v>
      </c>
      <c r="C993" s="11">
        <v>139131.04625510742</v>
      </c>
      <c r="D993" s="11">
        <v>139131.04625510742</v>
      </c>
    </row>
    <row r="994" spans="2:4" x14ac:dyDescent="0.3">
      <c r="B994" s="11">
        <f t="shared" si="17"/>
        <v>992</v>
      </c>
      <c r="C994" s="11">
        <v>52600.612812592401</v>
      </c>
      <c r="D994" s="11">
        <v>52600.612812592401</v>
      </c>
    </row>
    <row r="995" spans="2:4" x14ac:dyDescent="0.3">
      <c r="B995" s="11">
        <f t="shared" si="17"/>
        <v>993</v>
      </c>
      <c r="C995" s="11">
        <v>122149.78818988647</v>
      </c>
      <c r="D995" s="11">
        <v>121005.95597307463</v>
      </c>
    </row>
    <row r="996" spans="2:4" x14ac:dyDescent="0.3">
      <c r="B996" s="11">
        <f t="shared" si="17"/>
        <v>994</v>
      </c>
      <c r="C996" s="11">
        <v>93109.517219530171</v>
      </c>
      <c r="D996" s="11">
        <v>93109.517219530171</v>
      </c>
    </row>
    <row r="997" spans="2:4" x14ac:dyDescent="0.3">
      <c r="B997" s="11">
        <f t="shared" si="17"/>
        <v>995</v>
      </c>
      <c r="C997" s="11">
        <v>99561.384302448758</v>
      </c>
      <c r="D997" s="11">
        <v>99561.384302448758</v>
      </c>
    </row>
    <row r="998" spans="2:4" x14ac:dyDescent="0.3">
      <c r="B998" s="11">
        <f t="shared" si="17"/>
        <v>996</v>
      </c>
      <c r="C998" s="11">
        <v>45904.355603165284</v>
      </c>
      <c r="D998" s="11">
        <v>45904.355603165284</v>
      </c>
    </row>
    <row r="999" spans="2:4" x14ac:dyDescent="0.3">
      <c r="B999" s="11">
        <f t="shared" si="17"/>
        <v>997</v>
      </c>
      <c r="C999" s="11">
        <v>99412.362504488832</v>
      </c>
      <c r="D999" s="11">
        <v>99412.362504488832</v>
      </c>
    </row>
    <row r="1000" spans="2:4" x14ac:dyDescent="0.3">
      <c r="B1000" s="11">
        <f t="shared" si="17"/>
        <v>998</v>
      </c>
      <c r="C1000" s="11">
        <v>77767.56299591584</v>
      </c>
      <c r="D1000" s="11">
        <v>77767.56299591584</v>
      </c>
    </row>
    <row r="1001" spans="2:4" x14ac:dyDescent="0.3">
      <c r="B1001" s="11">
        <f t="shared" si="17"/>
        <v>999</v>
      </c>
      <c r="C1001" s="11">
        <v>95709.432314629157</v>
      </c>
      <c r="D1001" s="11">
        <v>95709.432314629157</v>
      </c>
    </row>
    <row r="1002" spans="2:4" x14ac:dyDescent="0.3">
      <c r="B1002" s="11">
        <f t="shared" si="17"/>
        <v>1000</v>
      </c>
      <c r="C1002" s="11">
        <v>66285.244401247444</v>
      </c>
      <c r="D1002" s="11">
        <v>66285.244401247444</v>
      </c>
    </row>
  </sheetData>
  <mergeCells count="4">
    <mergeCell ref="H18:I18"/>
    <mergeCell ref="J18:K18"/>
    <mergeCell ref="F23:F25"/>
    <mergeCell ref="H13:I13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Equation.3" shapeId="3074" r:id="rId4">
          <objectPr defaultSize="0" autoPict="0" r:id="rId5">
            <anchor moveWithCells="1" sizeWithCells="1">
              <from>
                <xdr:col>9</xdr:col>
                <xdr:colOff>175260</xdr:colOff>
                <xdr:row>6</xdr:row>
                <xdr:rowOff>144780</xdr:rowOff>
              </from>
              <to>
                <xdr:col>13</xdr:col>
                <xdr:colOff>175260</xdr:colOff>
                <xdr:row>8</xdr:row>
                <xdr:rowOff>15240</xdr:rowOff>
              </to>
            </anchor>
          </objectPr>
        </oleObject>
      </mc:Choice>
      <mc:Fallback>
        <oleObject progId="Equation.3" shapeId="3074" r:id="rId4"/>
      </mc:Fallback>
    </mc:AlternateContent>
  </oleObjec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6"/>
  <dimension ref="A1:F32"/>
  <sheetViews>
    <sheetView tabSelected="1" topLeftCell="A3" zoomScale="150" zoomScaleNormal="150" workbookViewId="0">
      <selection activeCell="F19" sqref="F19"/>
    </sheetView>
  </sheetViews>
  <sheetFormatPr defaultRowHeight="14.4" x14ac:dyDescent="0.3"/>
  <cols>
    <col min="1" max="1" width="39" bestFit="1" customWidth="1"/>
    <col min="2" max="2" width="12.88671875" bestFit="1" customWidth="1"/>
    <col min="3" max="4" width="11.6640625" bestFit="1" customWidth="1"/>
    <col min="5" max="5" width="13.77734375" bestFit="1" customWidth="1"/>
    <col min="6" max="6" width="12" bestFit="1" customWidth="1"/>
  </cols>
  <sheetData>
    <row r="1" spans="1:6" x14ac:dyDescent="0.3">
      <c r="A1" s="11" t="s">
        <v>71</v>
      </c>
      <c r="B1" s="135">
        <f>E5*E8</f>
        <v>278.98460806980904</v>
      </c>
      <c r="C1" s="186">
        <f>E5*F8</f>
        <v>273.83291298088216</v>
      </c>
      <c r="D1" t="s">
        <v>107</v>
      </c>
    </row>
    <row r="2" spans="1:6" x14ac:dyDescent="0.3">
      <c r="A2" s="11" t="s">
        <v>73</v>
      </c>
      <c r="B2" s="135">
        <f>E5*E6+E7*E8^2</f>
        <v>5275228.8584585544</v>
      </c>
    </row>
    <row r="3" spans="1:6" x14ac:dyDescent="0.3">
      <c r="A3" s="11" t="s">
        <v>74</v>
      </c>
      <c r="B3" s="178">
        <v>1.0000000000000001E-5</v>
      </c>
    </row>
    <row r="4" spans="1:6" x14ac:dyDescent="0.3">
      <c r="A4" s="11" t="s">
        <v>72</v>
      </c>
      <c r="B4" s="136">
        <f>B1+B3*B2</f>
        <v>331.73689665439457</v>
      </c>
    </row>
    <row r="5" spans="1:6" x14ac:dyDescent="0.3">
      <c r="A5" s="11" t="s">
        <v>75</v>
      </c>
      <c r="B5" s="11">
        <f>'BIN.NEG.-LOGNORM'!B5</f>
        <v>400</v>
      </c>
      <c r="C5">
        <f>B5*B1</f>
        <v>111593.84322792361</v>
      </c>
      <c r="D5" s="11" t="s">
        <v>63</v>
      </c>
      <c r="E5" s="32">
        <f>'BIN.NEG.-LOGNORM'!B2</f>
        <v>0.10311008353221957</v>
      </c>
    </row>
    <row r="6" spans="1:6" x14ac:dyDescent="0.3">
      <c r="A6" s="11" t="s">
        <v>76</v>
      </c>
      <c r="B6" s="135">
        <f>E16</f>
        <v>146110.26026037196</v>
      </c>
      <c r="C6">
        <v>107786.69646257332</v>
      </c>
      <c r="D6" s="11" t="s">
        <v>61</v>
      </c>
      <c r="E6" s="15">
        <f>'POISSON-LOGNORM'!B20</f>
        <v>43464634.840395682</v>
      </c>
    </row>
    <row r="7" spans="1:6" x14ac:dyDescent="0.3">
      <c r="A7" s="11" t="s">
        <v>77</v>
      </c>
      <c r="B7" s="136">
        <f>B6-B5*B1</f>
        <v>34516.417032448342</v>
      </c>
      <c r="C7" s="187">
        <f>B5*B1</f>
        <v>111593.84322792361</v>
      </c>
      <c r="D7" s="11" t="s">
        <v>64</v>
      </c>
      <c r="E7" s="32">
        <f>'BIN.NEG.-LOGNORM'!B3</f>
        <v>0.10840172356180686</v>
      </c>
    </row>
    <row r="8" spans="1:6" x14ac:dyDescent="0.3">
      <c r="A8" s="11" t="s">
        <v>78</v>
      </c>
      <c r="B8" s="135">
        <f>'DANNO AGGREGATO'!K25</f>
        <v>264508.07741588622</v>
      </c>
      <c r="D8" s="11" t="s">
        <v>60</v>
      </c>
      <c r="E8" s="15">
        <f>'BIN.NEG.-LOGNORM'!B23</f>
        <v>2705.6966546112117</v>
      </c>
      <c r="F8" s="107">
        <f>'DANNO AGGREGATO'!K20/'DANNO AGGREGATO'!H6</f>
        <v>2655.7335965625089</v>
      </c>
    </row>
    <row r="9" spans="1:6" x14ac:dyDescent="0.3">
      <c r="A9" s="11" t="s">
        <v>79</v>
      </c>
      <c r="B9" s="136">
        <f>B8-B6</f>
        <v>118397.81715551426</v>
      </c>
    </row>
    <row r="10" spans="1:6" x14ac:dyDescent="0.3">
      <c r="A10" s="11" t="s">
        <v>80</v>
      </c>
      <c r="B10" s="137">
        <f>B9/B6</f>
        <v>0.81033198451995458</v>
      </c>
      <c r="C10" s="118"/>
    </row>
    <row r="11" spans="1:6" x14ac:dyDescent="0.3">
      <c r="A11" s="11" t="s">
        <v>108</v>
      </c>
      <c r="B11" s="179">
        <f>0.2*B1*B5</f>
        <v>22318.768645584725</v>
      </c>
    </row>
    <row r="12" spans="1:6" x14ac:dyDescent="0.3">
      <c r="A12" s="11" t="s">
        <v>109</v>
      </c>
      <c r="B12" s="179">
        <f>B11+B6</f>
        <v>168429.02890595669</v>
      </c>
    </row>
    <row r="13" spans="1:6" x14ac:dyDescent="0.3">
      <c r="A13" s="11" t="s">
        <v>110</v>
      </c>
      <c r="B13" s="179">
        <f>B8+B11</f>
        <v>286826.84606147092</v>
      </c>
    </row>
    <row r="14" spans="1:6" x14ac:dyDescent="0.3">
      <c r="A14" s="11" t="s">
        <v>111</v>
      </c>
      <c r="B14" s="181">
        <f>B13-B12</f>
        <v>118397.81715551423</v>
      </c>
    </row>
    <row r="15" spans="1:6" x14ac:dyDescent="0.3">
      <c r="A15" s="11" t="s">
        <v>112</v>
      </c>
      <c r="B15" s="181">
        <f>B14*0.06/(1+0.01)</f>
        <v>7033.533692406786</v>
      </c>
      <c r="D15" t="s">
        <v>126</v>
      </c>
      <c r="E15" s="8">
        <v>0.85333477283201398</v>
      </c>
    </row>
    <row r="16" spans="1:6" x14ac:dyDescent="0.3">
      <c r="A16" s="11" t="s">
        <v>113</v>
      </c>
      <c r="B16" s="181">
        <f>B7-B15</f>
        <v>27482.883340041557</v>
      </c>
      <c r="D16" t="s">
        <v>127</v>
      </c>
      <c r="E16" s="107">
        <f>PERCENTILE('DANNO AGGREGATO'!D3:D10159,'RISULTATI '!E15)</f>
        <v>146110.26026037196</v>
      </c>
    </row>
    <row r="17" spans="1:6" x14ac:dyDescent="0.3">
      <c r="A17" s="11" t="s">
        <v>114</v>
      </c>
      <c r="B17" s="182">
        <f>B16/B14</f>
        <v>0.23212322659583404</v>
      </c>
      <c r="D17" t="s">
        <v>135</v>
      </c>
      <c r="E17">
        <f>tvar!A5</f>
        <v>266968.78386705305</v>
      </c>
    </row>
    <row r="18" spans="1:6" x14ac:dyDescent="0.3">
      <c r="A18" s="11" t="s">
        <v>115</v>
      </c>
      <c r="B18" s="181">
        <f>0.3*B12</f>
        <v>50528.708671787004</v>
      </c>
      <c r="D18" t="s">
        <v>134</v>
      </c>
      <c r="E18" s="107">
        <f>AVERAGE(tvar!A1:A6)</f>
        <v>301766.55082452868</v>
      </c>
      <c r="F18" s="186">
        <f>E18-E17</f>
        <v>34797.766957475629</v>
      </c>
    </row>
    <row r="19" spans="1:6" x14ac:dyDescent="0.3">
      <c r="A19" s="11" t="s">
        <v>116</v>
      </c>
      <c r="B19" s="179">
        <f>B18*0.06/(1+0.01)</f>
        <v>3001.705465650713</v>
      </c>
    </row>
    <row r="20" spans="1:6" x14ac:dyDescent="0.3">
      <c r="A20" s="11" t="s">
        <v>117</v>
      </c>
      <c r="B20" s="179">
        <f>B7-B19</f>
        <v>31514.711566797629</v>
      </c>
    </row>
    <row r="21" spans="1:6" x14ac:dyDescent="0.3">
      <c r="A21" s="11" t="s">
        <v>118</v>
      </c>
      <c r="B21" s="182">
        <f>B20/B18</f>
        <v>0.62369912857864207</v>
      </c>
    </row>
    <row r="22" spans="1:6" x14ac:dyDescent="0.3">
      <c r="A22" s="11" t="s">
        <v>122</v>
      </c>
      <c r="B22" s="179">
        <f>'DANNO AGGREGATO'!I31+B11</f>
        <v>287038.46794624144</v>
      </c>
    </row>
    <row r="23" spans="1:6" x14ac:dyDescent="0.3">
      <c r="A23" s="11" t="s">
        <v>123</v>
      </c>
      <c r="B23" s="179">
        <f>B22-B12</f>
        <v>118609.43904028475</v>
      </c>
    </row>
    <row r="24" spans="1:6" x14ac:dyDescent="0.3">
      <c r="A24" s="11" t="s">
        <v>124</v>
      </c>
      <c r="B24" s="179">
        <f>B23*0.06/(1+0.01)</f>
        <v>7046.1052895218654</v>
      </c>
    </row>
    <row r="25" spans="1:6" x14ac:dyDescent="0.3">
      <c r="A25" s="11" t="s">
        <v>125</v>
      </c>
      <c r="B25" s="179">
        <f>B7-B24</f>
        <v>27470.311742926475</v>
      </c>
    </row>
    <row r="26" spans="1:6" x14ac:dyDescent="0.3">
      <c r="A26" s="11" t="s">
        <v>119</v>
      </c>
      <c r="B26" s="182">
        <f>B25/B23</f>
        <v>0.23160308290132292</v>
      </c>
    </row>
    <row r="29" spans="1:6" x14ac:dyDescent="0.3">
      <c r="A29" s="188" t="s">
        <v>132</v>
      </c>
      <c r="B29" s="194">
        <f>200</f>
        <v>200</v>
      </c>
      <c r="C29" s="192">
        <v>0</v>
      </c>
      <c r="D29" s="192">
        <v>200</v>
      </c>
      <c r="E29" s="191">
        <v>0</v>
      </c>
    </row>
    <row r="30" spans="1:6" x14ac:dyDescent="0.3">
      <c r="A30" s="189" t="s">
        <v>128</v>
      </c>
      <c r="B30" s="195">
        <f>20000</f>
        <v>20000</v>
      </c>
      <c r="C30" s="193">
        <v>20000</v>
      </c>
      <c r="D30" s="200" t="s">
        <v>133</v>
      </c>
      <c r="E30" s="201" t="s">
        <v>133</v>
      </c>
    </row>
    <row r="31" spans="1:6" x14ac:dyDescent="0.3">
      <c r="A31" s="189" t="s">
        <v>130</v>
      </c>
      <c r="B31" s="196">
        <v>142448</v>
      </c>
      <c r="C31" s="196">
        <v>151830.53685782928</v>
      </c>
      <c r="D31" s="196">
        <v>164374.08755240423</v>
      </c>
      <c r="E31" s="197">
        <v>168429.02890595669</v>
      </c>
    </row>
    <row r="32" spans="1:6" x14ac:dyDescent="0.3">
      <c r="A32" s="190" t="s">
        <v>131</v>
      </c>
      <c r="B32" s="198">
        <v>0.1113</v>
      </c>
      <c r="C32" s="198">
        <v>0.26840472210670008</v>
      </c>
      <c r="D32" s="198">
        <v>0.16565510434844422</v>
      </c>
      <c r="E32" s="199">
        <v>0.23212322659583404</v>
      </c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3" shapeId="11269" r:id="rId3">
          <objectPr defaultSize="0" autoPict="0" r:id="rId4">
            <anchor moveWithCells="1" sizeWithCells="1">
              <from>
                <xdr:col>4</xdr:col>
                <xdr:colOff>182880</xdr:colOff>
                <xdr:row>1</xdr:row>
                <xdr:rowOff>144780</xdr:rowOff>
              </from>
              <to>
                <xdr:col>9</xdr:col>
                <xdr:colOff>106680</xdr:colOff>
                <xdr:row>3</xdr:row>
                <xdr:rowOff>15240</xdr:rowOff>
              </to>
            </anchor>
          </objectPr>
        </oleObject>
      </mc:Choice>
      <mc:Fallback>
        <oleObject progId="Equation.3" shapeId="11269" r:id="rId3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B8A80-26F5-4827-9149-1FB7F9DD6911}">
  <dimension ref="A1:A1000"/>
  <sheetViews>
    <sheetView workbookViewId="0">
      <selection activeCell="A6" sqref="A6"/>
    </sheetView>
  </sheetViews>
  <sheetFormatPr defaultRowHeight="14.4" x14ac:dyDescent="0.3"/>
  <cols>
    <col min="1" max="1" width="9.33203125" bestFit="1" customWidth="1"/>
  </cols>
  <sheetData>
    <row r="1" spans="1:1" x14ac:dyDescent="0.3">
      <c r="A1" s="11">
        <v>371552.33461137809</v>
      </c>
    </row>
    <row r="2" spans="1:1" x14ac:dyDescent="0.3">
      <c r="A2" s="11">
        <v>321270.91308805335</v>
      </c>
    </row>
    <row r="3" spans="1:1" x14ac:dyDescent="0.3">
      <c r="A3" s="11">
        <v>315686.2417091052</v>
      </c>
    </row>
    <row r="4" spans="1:1" x14ac:dyDescent="0.3">
      <c r="A4" s="11">
        <v>270625.31961474725</v>
      </c>
    </row>
    <row r="5" spans="1:1" x14ac:dyDescent="0.3">
      <c r="A5" s="11">
        <v>266968.78386705305</v>
      </c>
    </row>
    <row r="6" spans="1:1" x14ac:dyDescent="0.3">
      <c r="A6" s="11">
        <v>264495.71205683512</v>
      </c>
    </row>
    <row r="7" spans="1:1" x14ac:dyDescent="0.3">
      <c r="A7" s="11">
        <v>257052.55362728323</v>
      </c>
    </row>
    <row r="8" spans="1:1" x14ac:dyDescent="0.3">
      <c r="A8" s="11">
        <v>255567.34007398805</v>
      </c>
    </row>
    <row r="9" spans="1:1" x14ac:dyDescent="0.3">
      <c r="A9" s="11">
        <v>255418.51808009585</v>
      </c>
    </row>
    <row r="10" spans="1:1" x14ac:dyDescent="0.3">
      <c r="A10" s="11">
        <v>253486.37493600938</v>
      </c>
    </row>
    <row r="11" spans="1:1" x14ac:dyDescent="0.3">
      <c r="A11" s="11">
        <v>251710.55484235729</v>
      </c>
    </row>
    <row r="12" spans="1:1" x14ac:dyDescent="0.3">
      <c r="A12" s="11">
        <v>250491.55528007195</v>
      </c>
    </row>
    <row r="13" spans="1:1" x14ac:dyDescent="0.3">
      <c r="A13" s="11">
        <v>249183.20759985465</v>
      </c>
    </row>
    <row r="14" spans="1:1" x14ac:dyDescent="0.3">
      <c r="A14" s="11">
        <v>247379.31245300782</v>
      </c>
    </row>
    <row r="15" spans="1:1" x14ac:dyDescent="0.3">
      <c r="A15" s="11">
        <v>244355.09667373053</v>
      </c>
    </row>
    <row r="16" spans="1:1" x14ac:dyDescent="0.3">
      <c r="A16" s="11">
        <v>242928.33395975383</v>
      </c>
    </row>
    <row r="17" spans="1:1" x14ac:dyDescent="0.3">
      <c r="A17" s="11">
        <v>237798.06337319766</v>
      </c>
    </row>
    <row r="18" spans="1:1" x14ac:dyDescent="0.3">
      <c r="A18" s="11">
        <v>236997.75541899711</v>
      </c>
    </row>
    <row r="19" spans="1:1" x14ac:dyDescent="0.3">
      <c r="A19" s="11">
        <v>233115.23013053092</v>
      </c>
    </row>
    <row r="20" spans="1:1" x14ac:dyDescent="0.3">
      <c r="A20" s="11">
        <v>229405.59562895543</v>
      </c>
    </row>
    <row r="21" spans="1:1" x14ac:dyDescent="0.3">
      <c r="A21" s="11">
        <v>228268.90876438507</v>
      </c>
    </row>
    <row r="22" spans="1:1" x14ac:dyDescent="0.3">
      <c r="A22" s="11">
        <v>227716.46286920729</v>
      </c>
    </row>
    <row r="23" spans="1:1" x14ac:dyDescent="0.3">
      <c r="A23" s="11">
        <v>225809.92334975317</v>
      </c>
    </row>
    <row r="24" spans="1:1" x14ac:dyDescent="0.3">
      <c r="A24" s="11">
        <v>220592.61882954033</v>
      </c>
    </row>
    <row r="25" spans="1:1" x14ac:dyDescent="0.3">
      <c r="A25" s="11">
        <v>219378.18207891186</v>
      </c>
    </row>
    <row r="26" spans="1:1" x14ac:dyDescent="0.3">
      <c r="A26" s="11">
        <v>218294.3782867433</v>
      </c>
    </row>
    <row r="27" spans="1:1" x14ac:dyDescent="0.3">
      <c r="A27" s="11">
        <v>216584.58683133524</v>
      </c>
    </row>
    <row r="28" spans="1:1" x14ac:dyDescent="0.3">
      <c r="A28" s="11">
        <v>209011.05329094987</v>
      </c>
    </row>
    <row r="29" spans="1:1" x14ac:dyDescent="0.3">
      <c r="A29" s="11">
        <v>208193.82977540971</v>
      </c>
    </row>
    <row r="30" spans="1:1" x14ac:dyDescent="0.3">
      <c r="A30" s="11">
        <v>207488.27898365803</v>
      </c>
    </row>
    <row r="31" spans="1:1" x14ac:dyDescent="0.3">
      <c r="A31" s="11">
        <v>207471.71516173054</v>
      </c>
    </row>
    <row r="32" spans="1:1" x14ac:dyDescent="0.3">
      <c r="A32" s="11">
        <v>206280.83466994338</v>
      </c>
    </row>
    <row r="33" spans="1:1" x14ac:dyDescent="0.3">
      <c r="A33" s="11">
        <v>203392.60887308739</v>
      </c>
    </row>
    <row r="34" spans="1:1" x14ac:dyDescent="0.3">
      <c r="A34" s="11">
        <v>202466.40738200629</v>
      </c>
    </row>
    <row r="35" spans="1:1" x14ac:dyDescent="0.3">
      <c r="A35" s="11">
        <v>200366.81444752542</v>
      </c>
    </row>
    <row r="36" spans="1:1" x14ac:dyDescent="0.3">
      <c r="A36" s="11">
        <v>197974.98684804735</v>
      </c>
    </row>
    <row r="37" spans="1:1" x14ac:dyDescent="0.3">
      <c r="A37" s="11">
        <v>197258.12562146049</v>
      </c>
    </row>
    <row r="38" spans="1:1" x14ac:dyDescent="0.3">
      <c r="A38" s="11">
        <v>195116.13251246084</v>
      </c>
    </row>
    <row r="39" spans="1:1" x14ac:dyDescent="0.3">
      <c r="A39" s="11">
        <v>194647.42020645016</v>
      </c>
    </row>
    <row r="40" spans="1:1" x14ac:dyDescent="0.3">
      <c r="A40" s="11">
        <v>194514.61107136821</v>
      </c>
    </row>
    <row r="41" spans="1:1" x14ac:dyDescent="0.3">
      <c r="A41" s="11">
        <v>193084.1052125709</v>
      </c>
    </row>
    <row r="42" spans="1:1" x14ac:dyDescent="0.3">
      <c r="A42" s="11">
        <v>193057.02255467683</v>
      </c>
    </row>
    <row r="43" spans="1:1" x14ac:dyDescent="0.3">
      <c r="A43" s="11">
        <v>190848.52018933729</v>
      </c>
    </row>
    <row r="44" spans="1:1" x14ac:dyDescent="0.3">
      <c r="A44" s="11">
        <v>190706.16524016298</v>
      </c>
    </row>
    <row r="45" spans="1:1" x14ac:dyDescent="0.3">
      <c r="A45" s="11">
        <v>188310.84651485269</v>
      </c>
    </row>
    <row r="46" spans="1:1" x14ac:dyDescent="0.3">
      <c r="A46" s="11">
        <v>187649.33003433776</v>
      </c>
    </row>
    <row r="47" spans="1:1" x14ac:dyDescent="0.3">
      <c r="A47" s="11">
        <v>187381.47980885801</v>
      </c>
    </row>
    <row r="48" spans="1:1" x14ac:dyDescent="0.3">
      <c r="A48" s="11">
        <v>187158.26051756632</v>
      </c>
    </row>
    <row r="49" spans="1:1" x14ac:dyDescent="0.3">
      <c r="A49" s="11">
        <v>186848.36739566684</v>
      </c>
    </row>
    <row r="50" spans="1:1" x14ac:dyDescent="0.3">
      <c r="A50" s="11">
        <v>186658.04772097809</v>
      </c>
    </row>
    <row r="51" spans="1:1" x14ac:dyDescent="0.3">
      <c r="A51" s="11">
        <v>185474.83205811674</v>
      </c>
    </row>
    <row r="52" spans="1:1" x14ac:dyDescent="0.3">
      <c r="A52" s="11">
        <v>185195.40590576388</v>
      </c>
    </row>
    <row r="53" spans="1:1" x14ac:dyDescent="0.3">
      <c r="A53" s="11">
        <v>184746.3134195224</v>
      </c>
    </row>
    <row r="54" spans="1:1" x14ac:dyDescent="0.3">
      <c r="A54" s="11">
        <v>184365.0521877874</v>
      </c>
    </row>
    <row r="55" spans="1:1" x14ac:dyDescent="0.3">
      <c r="A55" s="11">
        <v>182818.08717674098</v>
      </c>
    </row>
    <row r="56" spans="1:1" x14ac:dyDescent="0.3">
      <c r="A56" s="11">
        <v>181530.10275931287</v>
      </c>
    </row>
    <row r="57" spans="1:1" x14ac:dyDescent="0.3">
      <c r="A57" s="11">
        <v>181444.55519105372</v>
      </c>
    </row>
    <row r="58" spans="1:1" x14ac:dyDescent="0.3">
      <c r="A58" s="11">
        <v>180912.88295824378</v>
      </c>
    </row>
    <row r="59" spans="1:1" x14ac:dyDescent="0.3">
      <c r="A59" s="11">
        <v>180449.39745522061</v>
      </c>
    </row>
    <row r="60" spans="1:1" x14ac:dyDescent="0.3">
      <c r="A60" s="11">
        <v>180353.82547519368</v>
      </c>
    </row>
    <row r="61" spans="1:1" x14ac:dyDescent="0.3">
      <c r="A61" s="11">
        <v>180277.94448350425</v>
      </c>
    </row>
    <row r="62" spans="1:1" x14ac:dyDescent="0.3">
      <c r="A62" s="11">
        <v>180057.03617267517</v>
      </c>
    </row>
    <row r="63" spans="1:1" x14ac:dyDescent="0.3">
      <c r="A63" s="11">
        <v>178757.46330731179</v>
      </c>
    </row>
    <row r="64" spans="1:1" x14ac:dyDescent="0.3">
      <c r="A64" s="11">
        <v>178508.75545063653</v>
      </c>
    </row>
    <row r="65" spans="1:1" x14ac:dyDescent="0.3">
      <c r="A65" s="11">
        <v>176808.24714793111</v>
      </c>
    </row>
    <row r="66" spans="1:1" x14ac:dyDescent="0.3">
      <c r="A66" s="11">
        <v>175932.18658684811</v>
      </c>
    </row>
    <row r="67" spans="1:1" x14ac:dyDescent="0.3">
      <c r="A67" s="11">
        <v>175288.23599969561</v>
      </c>
    </row>
    <row r="68" spans="1:1" x14ac:dyDescent="0.3">
      <c r="A68" s="11">
        <v>174369.78658029376</v>
      </c>
    </row>
    <row r="69" spans="1:1" x14ac:dyDescent="0.3">
      <c r="A69" s="11">
        <v>173867.03235713023</v>
      </c>
    </row>
    <row r="70" spans="1:1" x14ac:dyDescent="0.3">
      <c r="A70" s="11">
        <v>173170.78885154278</v>
      </c>
    </row>
    <row r="71" spans="1:1" x14ac:dyDescent="0.3">
      <c r="A71" s="11">
        <v>172812.8075907905</v>
      </c>
    </row>
    <row r="72" spans="1:1" x14ac:dyDescent="0.3">
      <c r="A72" s="11">
        <v>172666.82656186775</v>
      </c>
    </row>
    <row r="73" spans="1:1" x14ac:dyDescent="0.3">
      <c r="A73" s="11">
        <v>172598.45739676591</v>
      </c>
    </row>
    <row r="74" spans="1:1" x14ac:dyDescent="0.3">
      <c r="A74" s="11">
        <v>172475.07227485534</v>
      </c>
    </row>
    <row r="75" spans="1:1" x14ac:dyDescent="0.3">
      <c r="A75" s="11">
        <v>170813.76949310148</v>
      </c>
    </row>
    <row r="76" spans="1:1" x14ac:dyDescent="0.3">
      <c r="A76" s="11">
        <v>169571.75600935231</v>
      </c>
    </row>
    <row r="77" spans="1:1" x14ac:dyDescent="0.3">
      <c r="A77" s="11">
        <v>169565.90055473242</v>
      </c>
    </row>
    <row r="78" spans="1:1" x14ac:dyDescent="0.3">
      <c r="A78" s="11">
        <v>168231.2370990323</v>
      </c>
    </row>
    <row r="79" spans="1:1" x14ac:dyDescent="0.3">
      <c r="A79" s="11">
        <v>168011.97368754639</v>
      </c>
    </row>
    <row r="80" spans="1:1" x14ac:dyDescent="0.3">
      <c r="A80" s="11">
        <v>167832.65746026282</v>
      </c>
    </row>
    <row r="81" spans="1:1" x14ac:dyDescent="0.3">
      <c r="A81" s="11">
        <v>167831.65672632639</v>
      </c>
    </row>
    <row r="82" spans="1:1" x14ac:dyDescent="0.3">
      <c r="A82" s="11">
        <v>167667.22211661423</v>
      </c>
    </row>
    <row r="83" spans="1:1" x14ac:dyDescent="0.3">
      <c r="A83" s="11">
        <v>167238.76465271955</v>
      </c>
    </row>
    <row r="84" spans="1:1" x14ac:dyDescent="0.3">
      <c r="A84" s="11">
        <v>166103.28450329506</v>
      </c>
    </row>
    <row r="85" spans="1:1" x14ac:dyDescent="0.3">
      <c r="A85" s="11">
        <v>166027.62642117817</v>
      </c>
    </row>
    <row r="86" spans="1:1" x14ac:dyDescent="0.3">
      <c r="A86" s="11">
        <v>165648.59412180781</v>
      </c>
    </row>
    <row r="87" spans="1:1" x14ac:dyDescent="0.3">
      <c r="A87" s="11">
        <v>165608.72235471962</v>
      </c>
    </row>
    <row r="88" spans="1:1" x14ac:dyDescent="0.3">
      <c r="A88" s="11">
        <v>165021.05217057629</v>
      </c>
    </row>
    <row r="89" spans="1:1" x14ac:dyDescent="0.3">
      <c r="A89" s="11">
        <v>164938.45795698467</v>
      </c>
    </row>
    <row r="90" spans="1:1" x14ac:dyDescent="0.3">
      <c r="A90" s="11">
        <v>164538.28949516453</v>
      </c>
    </row>
    <row r="91" spans="1:1" x14ac:dyDescent="0.3">
      <c r="A91" s="11">
        <v>164010.82745269974</v>
      </c>
    </row>
    <row r="92" spans="1:1" x14ac:dyDescent="0.3">
      <c r="A92" s="11">
        <v>163477.88598357205</v>
      </c>
    </row>
    <row r="93" spans="1:1" x14ac:dyDescent="0.3">
      <c r="A93" s="11">
        <v>163234.62614341348</v>
      </c>
    </row>
    <row r="94" spans="1:1" x14ac:dyDescent="0.3">
      <c r="A94" s="11">
        <v>162925.6565865764</v>
      </c>
    </row>
    <row r="95" spans="1:1" x14ac:dyDescent="0.3">
      <c r="A95" s="11">
        <v>162821.48702478214</v>
      </c>
    </row>
    <row r="96" spans="1:1" x14ac:dyDescent="0.3">
      <c r="A96" s="11">
        <v>162811.32728533936</v>
      </c>
    </row>
    <row r="97" spans="1:1" x14ac:dyDescent="0.3">
      <c r="A97" s="11">
        <v>162745.03361035633</v>
      </c>
    </row>
    <row r="98" spans="1:1" x14ac:dyDescent="0.3">
      <c r="A98" s="11">
        <v>162723.29169870474</v>
      </c>
    </row>
    <row r="99" spans="1:1" x14ac:dyDescent="0.3">
      <c r="A99" s="11">
        <v>162473.74067380442</v>
      </c>
    </row>
    <row r="100" spans="1:1" x14ac:dyDescent="0.3">
      <c r="A100" s="11">
        <v>161821.65733249282</v>
      </c>
    </row>
    <row r="101" spans="1:1" x14ac:dyDescent="0.3">
      <c r="A101" s="11">
        <v>161817.28575629939</v>
      </c>
    </row>
    <row r="102" spans="1:1" x14ac:dyDescent="0.3">
      <c r="A102" s="11">
        <v>161708.45899218702</v>
      </c>
    </row>
    <row r="103" spans="1:1" x14ac:dyDescent="0.3">
      <c r="A103" s="11">
        <v>161569.90811810744</v>
      </c>
    </row>
    <row r="104" spans="1:1" x14ac:dyDescent="0.3">
      <c r="A104" s="11">
        <v>161146.47360015797</v>
      </c>
    </row>
    <row r="105" spans="1:1" x14ac:dyDescent="0.3">
      <c r="A105" s="11">
        <v>160291.51315754699</v>
      </c>
    </row>
    <row r="106" spans="1:1" x14ac:dyDescent="0.3">
      <c r="A106" s="11">
        <v>160284.22980048737</v>
      </c>
    </row>
    <row r="107" spans="1:1" x14ac:dyDescent="0.3">
      <c r="A107" s="11">
        <v>159545.19828378741</v>
      </c>
    </row>
    <row r="108" spans="1:1" x14ac:dyDescent="0.3">
      <c r="A108" s="11">
        <v>158901.28758491058</v>
      </c>
    </row>
    <row r="109" spans="1:1" x14ac:dyDescent="0.3">
      <c r="A109" s="11">
        <v>158684.56899717145</v>
      </c>
    </row>
    <row r="110" spans="1:1" x14ac:dyDescent="0.3">
      <c r="A110" s="11">
        <v>158268.06457881333</v>
      </c>
    </row>
    <row r="111" spans="1:1" x14ac:dyDescent="0.3">
      <c r="A111" s="11">
        <v>158182.97123464034</v>
      </c>
    </row>
    <row r="112" spans="1:1" x14ac:dyDescent="0.3">
      <c r="A112" s="11">
        <v>158082.33679991329</v>
      </c>
    </row>
    <row r="113" spans="1:1" x14ac:dyDescent="0.3">
      <c r="A113" s="11">
        <v>157970.45130054667</v>
      </c>
    </row>
    <row r="114" spans="1:1" x14ac:dyDescent="0.3">
      <c r="A114" s="11">
        <v>157700.59049516771</v>
      </c>
    </row>
    <row r="115" spans="1:1" x14ac:dyDescent="0.3">
      <c r="A115" s="11">
        <v>157371.67175470953</v>
      </c>
    </row>
    <row r="116" spans="1:1" x14ac:dyDescent="0.3">
      <c r="A116" s="11">
        <v>155909.50518001462</v>
      </c>
    </row>
    <row r="117" spans="1:1" x14ac:dyDescent="0.3">
      <c r="A117" s="11">
        <v>155747.25501375386</v>
      </c>
    </row>
    <row r="118" spans="1:1" x14ac:dyDescent="0.3">
      <c r="A118" s="11">
        <v>155475.80434362916</v>
      </c>
    </row>
    <row r="119" spans="1:1" x14ac:dyDescent="0.3">
      <c r="A119" s="11">
        <v>155301.52162825424</v>
      </c>
    </row>
    <row r="120" spans="1:1" x14ac:dyDescent="0.3">
      <c r="A120" s="11">
        <v>154683.40695725483</v>
      </c>
    </row>
    <row r="121" spans="1:1" x14ac:dyDescent="0.3">
      <c r="A121" s="11">
        <v>153743.48018525372</v>
      </c>
    </row>
    <row r="122" spans="1:1" x14ac:dyDescent="0.3">
      <c r="A122" s="11">
        <v>152921.74102347341</v>
      </c>
    </row>
    <row r="123" spans="1:1" x14ac:dyDescent="0.3">
      <c r="A123" s="11">
        <v>152709.73025809246</v>
      </c>
    </row>
    <row r="124" spans="1:1" x14ac:dyDescent="0.3">
      <c r="A124" s="11">
        <v>152683.37606044882</v>
      </c>
    </row>
    <row r="125" spans="1:1" x14ac:dyDescent="0.3">
      <c r="A125" s="11">
        <v>150991.00939495416</v>
      </c>
    </row>
    <row r="126" spans="1:1" x14ac:dyDescent="0.3">
      <c r="A126" s="11">
        <v>150931.1123859486</v>
      </c>
    </row>
    <row r="127" spans="1:1" x14ac:dyDescent="0.3">
      <c r="A127" s="11">
        <v>149878.55490014452</v>
      </c>
    </row>
    <row r="128" spans="1:1" x14ac:dyDescent="0.3">
      <c r="A128" s="11">
        <v>149690.19806428548</v>
      </c>
    </row>
    <row r="129" spans="1:1" x14ac:dyDescent="0.3">
      <c r="A129" s="11">
        <v>149438.2612646319</v>
      </c>
    </row>
    <row r="130" spans="1:1" x14ac:dyDescent="0.3">
      <c r="A130" s="11">
        <v>149338.57040799572</v>
      </c>
    </row>
    <row r="131" spans="1:1" x14ac:dyDescent="0.3">
      <c r="A131" s="11">
        <v>149257.45552060808</v>
      </c>
    </row>
    <row r="132" spans="1:1" x14ac:dyDescent="0.3">
      <c r="A132" s="11">
        <v>149237.07004712924</v>
      </c>
    </row>
    <row r="133" spans="1:1" x14ac:dyDescent="0.3">
      <c r="A133" s="11">
        <v>149124.84767913114</v>
      </c>
    </row>
    <row r="134" spans="1:1" x14ac:dyDescent="0.3">
      <c r="A134" s="11">
        <v>148642.5106720803</v>
      </c>
    </row>
    <row r="135" spans="1:1" x14ac:dyDescent="0.3">
      <c r="A135" s="11">
        <v>148354.70385353366</v>
      </c>
    </row>
    <row r="136" spans="1:1" x14ac:dyDescent="0.3">
      <c r="A136" s="11">
        <v>148193.01346206205</v>
      </c>
    </row>
    <row r="137" spans="1:1" x14ac:dyDescent="0.3">
      <c r="A137" s="11">
        <v>148155.78496909756</v>
      </c>
    </row>
    <row r="138" spans="1:1" x14ac:dyDescent="0.3">
      <c r="A138" s="11">
        <v>148086.27787411649</v>
      </c>
    </row>
    <row r="139" spans="1:1" x14ac:dyDescent="0.3">
      <c r="A139" s="11">
        <v>147996.08063169353</v>
      </c>
    </row>
    <row r="140" spans="1:1" x14ac:dyDescent="0.3">
      <c r="A140" s="11">
        <v>147929.12701994111</v>
      </c>
    </row>
    <row r="141" spans="1:1" x14ac:dyDescent="0.3">
      <c r="A141" s="11">
        <v>146850.80100670827</v>
      </c>
    </row>
    <row r="142" spans="1:1" x14ac:dyDescent="0.3">
      <c r="A142" s="11">
        <v>146748.25535286151</v>
      </c>
    </row>
    <row r="143" spans="1:1" x14ac:dyDescent="0.3">
      <c r="A143" s="11">
        <v>146653.76775516142</v>
      </c>
    </row>
    <row r="144" spans="1:1" x14ac:dyDescent="0.3">
      <c r="A144" s="11">
        <v>146635.83261123943</v>
      </c>
    </row>
    <row r="145" spans="1:1" x14ac:dyDescent="0.3">
      <c r="A145" s="11">
        <v>146588.66219042733</v>
      </c>
    </row>
    <row r="146" spans="1:1" x14ac:dyDescent="0.3">
      <c r="A146" s="11">
        <v>146236.31400582721</v>
      </c>
    </row>
    <row r="147" spans="1:1" x14ac:dyDescent="0.3">
      <c r="A147" s="11">
        <v>146117.36151779513</v>
      </c>
    </row>
    <row r="148" spans="1:1" x14ac:dyDescent="0.3">
      <c r="A148" s="11">
        <v>146103.66738240994</v>
      </c>
    </row>
    <row r="149" spans="1:1" x14ac:dyDescent="0.3">
      <c r="A149" s="11">
        <v>145869.03903439443</v>
      </c>
    </row>
    <row r="150" spans="1:1" x14ac:dyDescent="0.3">
      <c r="A150" s="11">
        <v>145533.02820949905</v>
      </c>
    </row>
    <row r="151" spans="1:1" x14ac:dyDescent="0.3">
      <c r="A151" s="11">
        <v>145224.72188396609</v>
      </c>
    </row>
    <row r="152" spans="1:1" x14ac:dyDescent="0.3">
      <c r="A152" s="11">
        <v>145209.68433359623</v>
      </c>
    </row>
    <row r="153" spans="1:1" x14ac:dyDescent="0.3">
      <c r="A153" s="11">
        <v>145200.444367388</v>
      </c>
    </row>
    <row r="154" spans="1:1" x14ac:dyDescent="0.3">
      <c r="A154" s="11">
        <v>144800.58615165806</v>
      </c>
    </row>
    <row r="155" spans="1:1" x14ac:dyDescent="0.3">
      <c r="A155" s="11">
        <v>144626.36587748412</v>
      </c>
    </row>
    <row r="156" spans="1:1" x14ac:dyDescent="0.3">
      <c r="A156" s="11">
        <v>144490.36666401708</v>
      </c>
    </row>
    <row r="157" spans="1:1" x14ac:dyDescent="0.3">
      <c r="A157" s="11">
        <v>144196.78376552279</v>
      </c>
    </row>
    <row r="158" spans="1:1" x14ac:dyDescent="0.3">
      <c r="A158" s="11">
        <v>143971.49917187355</v>
      </c>
    </row>
    <row r="159" spans="1:1" x14ac:dyDescent="0.3">
      <c r="A159" s="11">
        <v>143830.12839307234</v>
      </c>
    </row>
    <row r="160" spans="1:1" x14ac:dyDescent="0.3">
      <c r="A160" s="11">
        <v>143526.02257937525</v>
      </c>
    </row>
    <row r="161" spans="1:1" x14ac:dyDescent="0.3">
      <c r="A161" s="11">
        <v>143496.78461989443</v>
      </c>
    </row>
    <row r="162" spans="1:1" x14ac:dyDescent="0.3">
      <c r="A162" s="11">
        <v>143376.80065379152</v>
      </c>
    </row>
    <row r="163" spans="1:1" x14ac:dyDescent="0.3">
      <c r="A163" s="11">
        <v>142853.83740897168</v>
      </c>
    </row>
    <row r="164" spans="1:1" x14ac:dyDescent="0.3">
      <c r="A164" s="11">
        <v>142630.877899499</v>
      </c>
    </row>
    <row r="165" spans="1:1" x14ac:dyDescent="0.3">
      <c r="A165" s="11">
        <v>142541.05505470082</v>
      </c>
    </row>
    <row r="166" spans="1:1" x14ac:dyDescent="0.3">
      <c r="A166" s="11">
        <v>142518.46270583605</v>
      </c>
    </row>
    <row r="167" spans="1:1" x14ac:dyDescent="0.3">
      <c r="A167" s="11">
        <v>142486.04085896845</v>
      </c>
    </row>
    <row r="168" spans="1:1" x14ac:dyDescent="0.3">
      <c r="A168" s="11">
        <v>142421.17553492272</v>
      </c>
    </row>
    <row r="169" spans="1:1" x14ac:dyDescent="0.3">
      <c r="A169" s="11">
        <v>142004.82357465662</v>
      </c>
    </row>
    <row r="170" spans="1:1" x14ac:dyDescent="0.3">
      <c r="A170" s="11">
        <v>141818.76385341375</v>
      </c>
    </row>
    <row r="171" spans="1:1" x14ac:dyDescent="0.3">
      <c r="A171" s="11">
        <v>141775.36960546908</v>
      </c>
    </row>
    <row r="172" spans="1:1" x14ac:dyDescent="0.3">
      <c r="A172" s="11">
        <v>141756.74765468459</v>
      </c>
    </row>
    <row r="173" spans="1:1" x14ac:dyDescent="0.3">
      <c r="A173" s="11">
        <v>141726.95466137491</v>
      </c>
    </row>
    <row r="174" spans="1:1" x14ac:dyDescent="0.3">
      <c r="A174" s="11">
        <v>141607.72797706717</v>
      </c>
    </row>
    <row r="175" spans="1:1" x14ac:dyDescent="0.3">
      <c r="A175" s="11">
        <v>141215.47711209033</v>
      </c>
    </row>
    <row r="176" spans="1:1" x14ac:dyDescent="0.3">
      <c r="A176" s="11">
        <v>141065.5032723686</v>
      </c>
    </row>
    <row r="177" spans="1:1" x14ac:dyDescent="0.3">
      <c r="A177" s="11">
        <v>140990.2175771617</v>
      </c>
    </row>
    <row r="178" spans="1:1" x14ac:dyDescent="0.3">
      <c r="A178" s="11">
        <v>140916.88167829622</v>
      </c>
    </row>
    <row r="179" spans="1:1" x14ac:dyDescent="0.3">
      <c r="A179" s="11">
        <v>140716.65656690369</v>
      </c>
    </row>
    <row r="180" spans="1:1" x14ac:dyDescent="0.3">
      <c r="A180" s="11">
        <v>140345.99932516078</v>
      </c>
    </row>
    <row r="181" spans="1:1" x14ac:dyDescent="0.3">
      <c r="A181" s="11">
        <v>140248.28091699741</v>
      </c>
    </row>
    <row r="182" spans="1:1" x14ac:dyDescent="0.3">
      <c r="A182" s="11">
        <v>140008.96203294699</v>
      </c>
    </row>
    <row r="183" spans="1:1" x14ac:dyDescent="0.3">
      <c r="A183" s="11">
        <v>139812.68701047346</v>
      </c>
    </row>
    <row r="184" spans="1:1" x14ac:dyDescent="0.3">
      <c r="A184" s="11">
        <v>139402.80124787395</v>
      </c>
    </row>
    <row r="185" spans="1:1" x14ac:dyDescent="0.3">
      <c r="A185" s="11">
        <v>139349.32088547276</v>
      </c>
    </row>
    <row r="186" spans="1:1" x14ac:dyDescent="0.3">
      <c r="A186" s="11">
        <v>139131.04625510742</v>
      </c>
    </row>
    <row r="187" spans="1:1" x14ac:dyDescent="0.3">
      <c r="A187" s="11">
        <v>139117.12068809458</v>
      </c>
    </row>
    <row r="188" spans="1:1" x14ac:dyDescent="0.3">
      <c r="A188" s="11">
        <v>138887.90891228229</v>
      </c>
    </row>
    <row r="189" spans="1:1" x14ac:dyDescent="0.3">
      <c r="A189" s="11">
        <v>138784.45965809788</v>
      </c>
    </row>
    <row r="190" spans="1:1" x14ac:dyDescent="0.3">
      <c r="A190" s="11">
        <v>138598.79943083425</v>
      </c>
    </row>
    <row r="191" spans="1:1" x14ac:dyDescent="0.3">
      <c r="A191" s="11">
        <v>138592.58816055756</v>
      </c>
    </row>
    <row r="192" spans="1:1" x14ac:dyDescent="0.3">
      <c r="A192" s="11">
        <v>138457.90188757927</v>
      </c>
    </row>
    <row r="193" spans="1:1" x14ac:dyDescent="0.3">
      <c r="A193" s="11">
        <v>138392.87838948896</v>
      </c>
    </row>
    <row r="194" spans="1:1" x14ac:dyDescent="0.3">
      <c r="A194" s="11">
        <v>138030.76958776111</v>
      </c>
    </row>
    <row r="195" spans="1:1" x14ac:dyDescent="0.3">
      <c r="A195" s="11">
        <v>137844.42184180944</v>
      </c>
    </row>
    <row r="196" spans="1:1" x14ac:dyDescent="0.3">
      <c r="A196" s="11">
        <v>137805.74240538481</v>
      </c>
    </row>
    <row r="197" spans="1:1" x14ac:dyDescent="0.3">
      <c r="A197" s="11">
        <v>137763.50732935622</v>
      </c>
    </row>
    <row r="198" spans="1:1" x14ac:dyDescent="0.3">
      <c r="A198" s="11">
        <v>137636.85823499039</v>
      </c>
    </row>
    <row r="199" spans="1:1" x14ac:dyDescent="0.3">
      <c r="A199" s="11">
        <v>137489.16128145313</v>
      </c>
    </row>
    <row r="200" spans="1:1" x14ac:dyDescent="0.3">
      <c r="A200" s="11">
        <v>137399.70839795229</v>
      </c>
    </row>
    <row r="201" spans="1:1" x14ac:dyDescent="0.3">
      <c r="A201" s="11">
        <v>137354.19365125379</v>
      </c>
    </row>
    <row r="202" spans="1:1" x14ac:dyDescent="0.3">
      <c r="A202" s="11">
        <v>136902.11102423471</v>
      </c>
    </row>
    <row r="203" spans="1:1" x14ac:dyDescent="0.3">
      <c r="A203" s="11">
        <v>136888.79110226364</v>
      </c>
    </row>
    <row r="204" spans="1:1" x14ac:dyDescent="0.3">
      <c r="A204" s="11">
        <v>136649.32358335398</v>
      </c>
    </row>
    <row r="205" spans="1:1" x14ac:dyDescent="0.3">
      <c r="A205" s="11">
        <v>136639.02332022833</v>
      </c>
    </row>
    <row r="206" spans="1:1" x14ac:dyDescent="0.3">
      <c r="A206" s="11">
        <v>136526.10746318763</v>
      </c>
    </row>
    <row r="207" spans="1:1" x14ac:dyDescent="0.3">
      <c r="A207" s="11">
        <v>136448.99611128063</v>
      </c>
    </row>
    <row r="208" spans="1:1" x14ac:dyDescent="0.3">
      <c r="A208" s="11">
        <v>136385.82984490172</v>
      </c>
    </row>
    <row r="209" spans="1:1" x14ac:dyDescent="0.3">
      <c r="A209" s="11">
        <v>136179.48564022794</v>
      </c>
    </row>
    <row r="210" spans="1:1" x14ac:dyDescent="0.3">
      <c r="A210" s="11">
        <v>136135.27116984691</v>
      </c>
    </row>
    <row r="211" spans="1:1" x14ac:dyDescent="0.3">
      <c r="A211" s="11">
        <v>136123.04752516412</v>
      </c>
    </row>
    <row r="212" spans="1:1" x14ac:dyDescent="0.3">
      <c r="A212" s="11">
        <v>136050.60987705286</v>
      </c>
    </row>
    <row r="213" spans="1:1" x14ac:dyDescent="0.3">
      <c r="A213" s="11">
        <v>135846.71057221916</v>
      </c>
    </row>
    <row r="214" spans="1:1" x14ac:dyDescent="0.3">
      <c r="A214" s="11">
        <v>135780.48437893775</v>
      </c>
    </row>
    <row r="215" spans="1:1" x14ac:dyDescent="0.3">
      <c r="A215" s="11">
        <v>135743.62069284788</v>
      </c>
    </row>
    <row r="216" spans="1:1" x14ac:dyDescent="0.3">
      <c r="A216" s="11">
        <v>135600.67494159139</v>
      </c>
    </row>
    <row r="217" spans="1:1" x14ac:dyDescent="0.3">
      <c r="A217" s="11">
        <v>135484.02914165266</v>
      </c>
    </row>
    <row r="218" spans="1:1" x14ac:dyDescent="0.3">
      <c r="A218" s="11">
        <v>135430.86953598796</v>
      </c>
    </row>
    <row r="219" spans="1:1" x14ac:dyDescent="0.3">
      <c r="A219" s="11">
        <v>135222.074374672</v>
      </c>
    </row>
    <row r="220" spans="1:1" x14ac:dyDescent="0.3">
      <c r="A220" s="11">
        <v>135079.23378340594</v>
      </c>
    </row>
    <row r="221" spans="1:1" x14ac:dyDescent="0.3">
      <c r="A221" s="11">
        <v>134977.69175845847</v>
      </c>
    </row>
    <row r="222" spans="1:1" x14ac:dyDescent="0.3">
      <c r="A222" s="11">
        <v>134712.07169502368</v>
      </c>
    </row>
    <row r="223" spans="1:1" x14ac:dyDescent="0.3">
      <c r="A223" s="11">
        <v>134521.33926667424</v>
      </c>
    </row>
    <row r="224" spans="1:1" x14ac:dyDescent="0.3">
      <c r="A224" s="11">
        <v>134338.28004797504</v>
      </c>
    </row>
    <row r="225" spans="1:1" x14ac:dyDescent="0.3">
      <c r="A225" s="11">
        <v>134222.06550445745</v>
      </c>
    </row>
    <row r="226" spans="1:1" x14ac:dyDescent="0.3">
      <c r="A226" s="11">
        <v>133771.96473132234</v>
      </c>
    </row>
    <row r="227" spans="1:1" x14ac:dyDescent="0.3">
      <c r="A227" s="11">
        <v>133567.22326982798</v>
      </c>
    </row>
    <row r="228" spans="1:1" x14ac:dyDescent="0.3">
      <c r="A228" s="11">
        <v>133480.32024479893</v>
      </c>
    </row>
    <row r="229" spans="1:1" x14ac:dyDescent="0.3">
      <c r="A229" s="11">
        <v>133128.18127980127</v>
      </c>
    </row>
    <row r="230" spans="1:1" x14ac:dyDescent="0.3">
      <c r="A230" s="11">
        <v>132695.521387388</v>
      </c>
    </row>
    <row r="231" spans="1:1" x14ac:dyDescent="0.3">
      <c r="A231" s="11">
        <v>132475.35834894422</v>
      </c>
    </row>
    <row r="232" spans="1:1" x14ac:dyDescent="0.3">
      <c r="A232" s="11">
        <v>132398.68802212481</v>
      </c>
    </row>
    <row r="233" spans="1:1" x14ac:dyDescent="0.3">
      <c r="A233" s="11">
        <v>132279.40021708311</v>
      </c>
    </row>
    <row r="234" spans="1:1" x14ac:dyDescent="0.3">
      <c r="A234" s="11">
        <v>132231.12647852767</v>
      </c>
    </row>
    <row r="235" spans="1:1" x14ac:dyDescent="0.3">
      <c r="A235" s="11">
        <v>132115.69198827294</v>
      </c>
    </row>
    <row r="236" spans="1:1" x14ac:dyDescent="0.3">
      <c r="A236" s="11">
        <v>132088.6177734652</v>
      </c>
    </row>
    <row r="237" spans="1:1" x14ac:dyDescent="0.3">
      <c r="A237" s="11">
        <v>131973.57338341288</v>
      </c>
    </row>
    <row r="238" spans="1:1" x14ac:dyDescent="0.3">
      <c r="A238" s="11">
        <v>131796.63637296009</v>
      </c>
    </row>
    <row r="239" spans="1:1" x14ac:dyDescent="0.3">
      <c r="A239" s="11">
        <v>131774.57621654088</v>
      </c>
    </row>
    <row r="240" spans="1:1" x14ac:dyDescent="0.3">
      <c r="A240" s="11">
        <v>131710.27559679918</v>
      </c>
    </row>
    <row r="241" spans="1:1" x14ac:dyDescent="0.3">
      <c r="A241" s="11">
        <v>131572.44119747871</v>
      </c>
    </row>
    <row r="242" spans="1:1" x14ac:dyDescent="0.3">
      <c r="A242" s="11">
        <v>131483.34577619168</v>
      </c>
    </row>
    <row r="243" spans="1:1" x14ac:dyDescent="0.3">
      <c r="A243" s="11">
        <v>131452.27413028886</v>
      </c>
    </row>
    <row r="244" spans="1:1" x14ac:dyDescent="0.3">
      <c r="A244" s="11">
        <v>131412.25661613676</v>
      </c>
    </row>
    <row r="245" spans="1:1" x14ac:dyDescent="0.3">
      <c r="A245" s="11">
        <v>131407.94633603896</v>
      </c>
    </row>
    <row r="246" spans="1:1" x14ac:dyDescent="0.3">
      <c r="A246" s="11">
        <v>130601.98211813165</v>
      </c>
    </row>
    <row r="247" spans="1:1" x14ac:dyDescent="0.3">
      <c r="A247" s="11">
        <v>130598.79839246675</v>
      </c>
    </row>
    <row r="248" spans="1:1" x14ac:dyDescent="0.3">
      <c r="A248" s="11">
        <v>130458.82881743825</v>
      </c>
    </row>
    <row r="249" spans="1:1" x14ac:dyDescent="0.3">
      <c r="A249" s="11">
        <v>130375.32938985093</v>
      </c>
    </row>
    <row r="250" spans="1:1" x14ac:dyDescent="0.3">
      <c r="A250" s="11">
        <v>130058.02742295984</v>
      </c>
    </row>
    <row r="251" spans="1:1" x14ac:dyDescent="0.3">
      <c r="A251" s="11">
        <v>130003.82479364441</v>
      </c>
    </row>
    <row r="252" spans="1:1" x14ac:dyDescent="0.3">
      <c r="A252" s="11">
        <v>129860.42882534588</v>
      </c>
    </row>
    <row r="253" spans="1:1" x14ac:dyDescent="0.3">
      <c r="A253" s="11">
        <v>129818.88931051479</v>
      </c>
    </row>
    <row r="254" spans="1:1" x14ac:dyDescent="0.3">
      <c r="A254" s="11">
        <v>129221.91708580544</v>
      </c>
    </row>
    <row r="255" spans="1:1" x14ac:dyDescent="0.3">
      <c r="A255" s="11">
        <v>129196.17100363338</v>
      </c>
    </row>
    <row r="256" spans="1:1" x14ac:dyDescent="0.3">
      <c r="A256" s="11">
        <v>128820.45279612775</v>
      </c>
    </row>
    <row r="257" spans="1:1" x14ac:dyDescent="0.3">
      <c r="A257" s="11">
        <v>128672.80784799348</v>
      </c>
    </row>
    <row r="258" spans="1:1" x14ac:dyDescent="0.3">
      <c r="A258" s="11">
        <v>128471.83024771615</v>
      </c>
    </row>
    <row r="259" spans="1:1" x14ac:dyDescent="0.3">
      <c r="A259" s="11">
        <v>128344.12517160083</v>
      </c>
    </row>
    <row r="260" spans="1:1" x14ac:dyDescent="0.3">
      <c r="A260" s="11">
        <v>128195.49646572171</v>
      </c>
    </row>
    <row r="261" spans="1:1" x14ac:dyDescent="0.3">
      <c r="A261" s="11">
        <v>128189.05239513294</v>
      </c>
    </row>
    <row r="262" spans="1:1" x14ac:dyDescent="0.3">
      <c r="A262" s="11">
        <v>128061.02672217689</v>
      </c>
    </row>
    <row r="263" spans="1:1" x14ac:dyDescent="0.3">
      <c r="A263" s="11">
        <v>127809.25997675814</v>
      </c>
    </row>
    <row r="264" spans="1:1" x14ac:dyDescent="0.3">
      <c r="A264" s="11">
        <v>127638.99625732101</v>
      </c>
    </row>
    <row r="265" spans="1:1" x14ac:dyDescent="0.3">
      <c r="A265" s="11">
        <v>127615.06024947487</v>
      </c>
    </row>
    <row r="266" spans="1:1" x14ac:dyDescent="0.3">
      <c r="A266" s="11">
        <v>127599.36594320719</v>
      </c>
    </row>
    <row r="267" spans="1:1" x14ac:dyDescent="0.3">
      <c r="A267" s="11">
        <v>127293.06153516794</v>
      </c>
    </row>
    <row r="268" spans="1:1" x14ac:dyDescent="0.3">
      <c r="A268" s="11">
        <v>127224.00425065715</v>
      </c>
    </row>
    <row r="269" spans="1:1" x14ac:dyDescent="0.3">
      <c r="A269" s="11">
        <v>127211.84103641179</v>
      </c>
    </row>
    <row r="270" spans="1:1" x14ac:dyDescent="0.3">
      <c r="A270" s="11">
        <v>127110.853007678</v>
      </c>
    </row>
    <row r="271" spans="1:1" x14ac:dyDescent="0.3">
      <c r="A271" s="11">
        <v>127103.0911753465</v>
      </c>
    </row>
    <row r="272" spans="1:1" x14ac:dyDescent="0.3">
      <c r="A272" s="11">
        <v>127046.61827909554</v>
      </c>
    </row>
    <row r="273" spans="1:1" x14ac:dyDescent="0.3">
      <c r="A273" s="11">
        <v>126872.99699346292</v>
      </c>
    </row>
    <row r="274" spans="1:1" x14ac:dyDescent="0.3">
      <c r="A274" s="11">
        <v>126769.82515981721</v>
      </c>
    </row>
    <row r="275" spans="1:1" x14ac:dyDescent="0.3">
      <c r="A275" s="11">
        <v>126748.46409685888</v>
      </c>
    </row>
    <row r="276" spans="1:1" x14ac:dyDescent="0.3">
      <c r="A276" s="11">
        <v>126709.4056847967</v>
      </c>
    </row>
    <row r="277" spans="1:1" x14ac:dyDescent="0.3">
      <c r="A277" s="11">
        <v>126477.50232657586</v>
      </c>
    </row>
    <row r="278" spans="1:1" x14ac:dyDescent="0.3">
      <c r="A278" s="11">
        <v>126442.47778282671</v>
      </c>
    </row>
    <row r="279" spans="1:1" x14ac:dyDescent="0.3">
      <c r="A279" s="11">
        <v>126343.65485883642</v>
      </c>
    </row>
    <row r="280" spans="1:1" x14ac:dyDescent="0.3">
      <c r="A280" s="11">
        <v>126218.3764208085</v>
      </c>
    </row>
    <row r="281" spans="1:1" x14ac:dyDescent="0.3">
      <c r="A281" s="11">
        <v>125993.82156801845</v>
      </c>
    </row>
    <row r="282" spans="1:1" x14ac:dyDescent="0.3">
      <c r="A282" s="11">
        <v>125873.78671689388</v>
      </c>
    </row>
    <row r="283" spans="1:1" x14ac:dyDescent="0.3">
      <c r="A283" s="11">
        <v>125866.12719117034</v>
      </c>
    </row>
    <row r="284" spans="1:1" x14ac:dyDescent="0.3">
      <c r="A284" s="11">
        <v>125604.61177335563</v>
      </c>
    </row>
    <row r="285" spans="1:1" x14ac:dyDescent="0.3">
      <c r="A285" s="11">
        <v>125509.30122174203</v>
      </c>
    </row>
    <row r="286" spans="1:1" x14ac:dyDescent="0.3">
      <c r="A286" s="11">
        <v>125381.65646637346</v>
      </c>
    </row>
    <row r="287" spans="1:1" x14ac:dyDescent="0.3">
      <c r="A287" s="11">
        <v>125060.23505199018</v>
      </c>
    </row>
    <row r="288" spans="1:1" x14ac:dyDescent="0.3">
      <c r="A288" s="11">
        <v>124919.58338499567</v>
      </c>
    </row>
    <row r="289" spans="1:1" x14ac:dyDescent="0.3">
      <c r="A289" s="11">
        <v>124581.30040255113</v>
      </c>
    </row>
    <row r="290" spans="1:1" x14ac:dyDescent="0.3">
      <c r="A290" s="11">
        <v>124288.88016284311</v>
      </c>
    </row>
    <row r="291" spans="1:1" x14ac:dyDescent="0.3">
      <c r="A291" s="11">
        <v>124277.47244371816</v>
      </c>
    </row>
    <row r="292" spans="1:1" x14ac:dyDescent="0.3">
      <c r="A292" s="11">
        <v>124254.39113142484</v>
      </c>
    </row>
    <row r="293" spans="1:1" x14ac:dyDescent="0.3">
      <c r="A293" s="11">
        <v>124077.08026747275</v>
      </c>
    </row>
    <row r="294" spans="1:1" x14ac:dyDescent="0.3">
      <c r="A294" s="11">
        <v>124027.11251655607</v>
      </c>
    </row>
    <row r="295" spans="1:1" x14ac:dyDescent="0.3">
      <c r="A295" s="11">
        <v>123895.95647474521</v>
      </c>
    </row>
    <row r="296" spans="1:1" x14ac:dyDescent="0.3">
      <c r="A296" s="11">
        <v>123873.69023200835</v>
      </c>
    </row>
    <row r="297" spans="1:1" x14ac:dyDescent="0.3">
      <c r="A297" s="11">
        <v>123800.52708963542</v>
      </c>
    </row>
    <row r="298" spans="1:1" x14ac:dyDescent="0.3">
      <c r="A298" s="11">
        <v>123579.39644656661</v>
      </c>
    </row>
    <row r="299" spans="1:1" x14ac:dyDescent="0.3">
      <c r="A299" s="11">
        <v>123271.37939796638</v>
      </c>
    </row>
    <row r="300" spans="1:1" x14ac:dyDescent="0.3">
      <c r="A300" s="11">
        <v>123223.25410585258</v>
      </c>
    </row>
    <row r="301" spans="1:1" x14ac:dyDescent="0.3">
      <c r="A301" s="11">
        <v>123059.65927461472</v>
      </c>
    </row>
    <row r="302" spans="1:1" x14ac:dyDescent="0.3">
      <c r="A302" s="11">
        <v>122976.81983446583</v>
      </c>
    </row>
    <row r="303" spans="1:1" x14ac:dyDescent="0.3">
      <c r="A303" s="11">
        <v>122975.33437958553</v>
      </c>
    </row>
    <row r="304" spans="1:1" x14ac:dyDescent="0.3">
      <c r="A304" s="11">
        <v>122717.75389074312</v>
      </c>
    </row>
    <row r="305" spans="1:1" x14ac:dyDescent="0.3">
      <c r="A305" s="11">
        <v>122664.51858293543</v>
      </c>
    </row>
    <row r="306" spans="1:1" x14ac:dyDescent="0.3">
      <c r="A306" s="11">
        <v>122638.37942794824</v>
      </c>
    </row>
    <row r="307" spans="1:1" x14ac:dyDescent="0.3">
      <c r="A307" s="11">
        <v>122452.28374309879</v>
      </c>
    </row>
    <row r="308" spans="1:1" x14ac:dyDescent="0.3">
      <c r="A308" s="11">
        <v>122060.26130782676</v>
      </c>
    </row>
    <row r="309" spans="1:1" x14ac:dyDescent="0.3">
      <c r="A309" s="11">
        <v>121924.81630663965</v>
      </c>
    </row>
    <row r="310" spans="1:1" x14ac:dyDescent="0.3">
      <c r="A310" s="11">
        <v>121910.49424875774</v>
      </c>
    </row>
    <row r="311" spans="1:1" x14ac:dyDescent="0.3">
      <c r="A311" s="11">
        <v>121701.34508230803</v>
      </c>
    </row>
    <row r="312" spans="1:1" x14ac:dyDescent="0.3">
      <c r="A312" s="11">
        <v>121563.45985976576</v>
      </c>
    </row>
    <row r="313" spans="1:1" x14ac:dyDescent="0.3">
      <c r="A313" s="11">
        <v>121517.18968794656</v>
      </c>
    </row>
    <row r="314" spans="1:1" x14ac:dyDescent="0.3">
      <c r="A314" s="11">
        <v>121500.63999697799</v>
      </c>
    </row>
    <row r="315" spans="1:1" x14ac:dyDescent="0.3">
      <c r="A315" s="11">
        <v>121432.78095161538</v>
      </c>
    </row>
    <row r="316" spans="1:1" x14ac:dyDescent="0.3">
      <c r="A316" s="11">
        <v>121234.88861278011</v>
      </c>
    </row>
    <row r="317" spans="1:1" x14ac:dyDescent="0.3">
      <c r="A317" s="11">
        <v>121207.91478740724</v>
      </c>
    </row>
    <row r="318" spans="1:1" x14ac:dyDescent="0.3">
      <c r="A318" s="11">
        <v>121009.78081511328</v>
      </c>
    </row>
    <row r="319" spans="1:1" x14ac:dyDescent="0.3">
      <c r="A319" s="11">
        <v>121005.95597307463</v>
      </c>
    </row>
    <row r="320" spans="1:1" x14ac:dyDescent="0.3">
      <c r="A320" s="11">
        <v>120953.58679780464</v>
      </c>
    </row>
    <row r="321" spans="1:1" x14ac:dyDescent="0.3">
      <c r="A321" s="11">
        <v>120906.78531083533</v>
      </c>
    </row>
    <row r="322" spans="1:1" x14ac:dyDescent="0.3">
      <c r="A322" s="11">
        <v>120800.91562160122</v>
      </c>
    </row>
    <row r="323" spans="1:1" x14ac:dyDescent="0.3">
      <c r="A323" s="11">
        <v>120724.81643513935</v>
      </c>
    </row>
    <row r="324" spans="1:1" x14ac:dyDescent="0.3">
      <c r="A324" s="11">
        <v>120526.08960163369</v>
      </c>
    </row>
    <row r="325" spans="1:1" x14ac:dyDescent="0.3">
      <c r="A325" s="11">
        <v>120314.70060804923</v>
      </c>
    </row>
    <row r="326" spans="1:1" x14ac:dyDescent="0.3">
      <c r="A326" s="11">
        <v>120244.65984933326</v>
      </c>
    </row>
    <row r="327" spans="1:1" x14ac:dyDescent="0.3">
      <c r="A327" s="11">
        <v>120226.66768582213</v>
      </c>
    </row>
    <row r="328" spans="1:1" x14ac:dyDescent="0.3">
      <c r="A328" s="11">
        <v>120095.62044498508</v>
      </c>
    </row>
    <row r="329" spans="1:1" x14ac:dyDescent="0.3">
      <c r="A329" s="11">
        <v>119882.4246429194</v>
      </c>
    </row>
    <row r="330" spans="1:1" x14ac:dyDescent="0.3">
      <c r="A330" s="11">
        <v>119838.49163766373</v>
      </c>
    </row>
    <row r="331" spans="1:1" x14ac:dyDescent="0.3">
      <c r="A331" s="11">
        <v>119785.45466670807</v>
      </c>
    </row>
    <row r="332" spans="1:1" x14ac:dyDescent="0.3">
      <c r="A332" s="11">
        <v>119413.40944128926</v>
      </c>
    </row>
    <row r="333" spans="1:1" x14ac:dyDescent="0.3">
      <c r="A333" s="11">
        <v>119393.51901243658</v>
      </c>
    </row>
    <row r="334" spans="1:1" x14ac:dyDescent="0.3">
      <c r="A334" s="11">
        <v>119084.60067098931</v>
      </c>
    </row>
    <row r="335" spans="1:1" x14ac:dyDescent="0.3">
      <c r="A335" s="11">
        <v>119066.13439142225</v>
      </c>
    </row>
    <row r="336" spans="1:1" x14ac:dyDescent="0.3">
      <c r="A336" s="11">
        <v>119040.12786864041</v>
      </c>
    </row>
    <row r="337" spans="1:1" x14ac:dyDescent="0.3">
      <c r="A337" s="11">
        <v>118941.53805263208</v>
      </c>
    </row>
    <row r="338" spans="1:1" x14ac:dyDescent="0.3">
      <c r="A338" s="11">
        <v>118837.15457109842</v>
      </c>
    </row>
    <row r="339" spans="1:1" x14ac:dyDescent="0.3">
      <c r="A339" s="11">
        <v>118780.81226426319</v>
      </c>
    </row>
    <row r="340" spans="1:1" x14ac:dyDescent="0.3">
      <c r="A340" s="11">
        <v>118549.79935189376</v>
      </c>
    </row>
    <row r="341" spans="1:1" x14ac:dyDescent="0.3">
      <c r="A341" s="11">
        <v>118491.47864302204</v>
      </c>
    </row>
    <row r="342" spans="1:1" x14ac:dyDescent="0.3">
      <c r="A342" s="11">
        <v>118259.20399632193</v>
      </c>
    </row>
    <row r="343" spans="1:1" x14ac:dyDescent="0.3">
      <c r="A343" s="11">
        <v>118147.99792620671</v>
      </c>
    </row>
    <row r="344" spans="1:1" x14ac:dyDescent="0.3">
      <c r="A344" s="11">
        <v>117843.84041669665</v>
      </c>
    </row>
    <row r="345" spans="1:1" x14ac:dyDescent="0.3">
      <c r="A345" s="11">
        <v>117660.15405766688</v>
      </c>
    </row>
    <row r="346" spans="1:1" x14ac:dyDescent="0.3">
      <c r="A346" s="11">
        <v>117608.95688999482</v>
      </c>
    </row>
    <row r="347" spans="1:1" x14ac:dyDescent="0.3">
      <c r="A347" s="11">
        <v>117507.48173127708</v>
      </c>
    </row>
    <row r="348" spans="1:1" x14ac:dyDescent="0.3">
      <c r="A348" s="11">
        <v>117495.10782791719</v>
      </c>
    </row>
    <row r="349" spans="1:1" x14ac:dyDescent="0.3">
      <c r="A349" s="11">
        <v>117494.10979998899</v>
      </c>
    </row>
    <row r="350" spans="1:1" x14ac:dyDescent="0.3">
      <c r="A350" s="11">
        <v>117463.64107399697</v>
      </c>
    </row>
    <row r="351" spans="1:1" x14ac:dyDescent="0.3">
      <c r="A351" s="11">
        <v>117260.01738724264</v>
      </c>
    </row>
    <row r="352" spans="1:1" x14ac:dyDescent="0.3">
      <c r="A352" s="11">
        <v>117237.41443731528</v>
      </c>
    </row>
    <row r="353" spans="1:1" x14ac:dyDescent="0.3">
      <c r="A353" s="11">
        <v>116900.83714310164</v>
      </c>
    </row>
    <row r="354" spans="1:1" x14ac:dyDescent="0.3">
      <c r="A354" s="11">
        <v>116880.75034745506</v>
      </c>
    </row>
    <row r="355" spans="1:1" x14ac:dyDescent="0.3">
      <c r="A355" s="11">
        <v>116759.85141786888</v>
      </c>
    </row>
    <row r="356" spans="1:1" x14ac:dyDescent="0.3">
      <c r="A356" s="11">
        <v>116545.04397958684</v>
      </c>
    </row>
    <row r="357" spans="1:1" x14ac:dyDescent="0.3">
      <c r="A357" s="11">
        <v>116524.72879919098</v>
      </c>
    </row>
    <row r="358" spans="1:1" x14ac:dyDescent="0.3">
      <c r="A358" s="11">
        <v>116495.12010905164</v>
      </c>
    </row>
    <row r="359" spans="1:1" x14ac:dyDescent="0.3">
      <c r="A359" s="11">
        <v>116451.99329794718</v>
      </c>
    </row>
    <row r="360" spans="1:1" x14ac:dyDescent="0.3">
      <c r="A360" s="11">
        <v>116286.2283548626</v>
      </c>
    </row>
    <row r="361" spans="1:1" x14ac:dyDescent="0.3">
      <c r="A361" s="11">
        <v>116205.1951365031</v>
      </c>
    </row>
    <row r="362" spans="1:1" x14ac:dyDescent="0.3">
      <c r="A362" s="11">
        <v>115975.63192580696</v>
      </c>
    </row>
    <row r="363" spans="1:1" x14ac:dyDescent="0.3">
      <c r="A363" s="11">
        <v>115883.66612374036</v>
      </c>
    </row>
    <row r="364" spans="1:1" x14ac:dyDescent="0.3">
      <c r="A364" s="11">
        <v>115868.03084844809</v>
      </c>
    </row>
    <row r="365" spans="1:1" x14ac:dyDescent="0.3">
      <c r="A365" s="11">
        <v>115687.86732353878</v>
      </c>
    </row>
    <row r="366" spans="1:1" x14ac:dyDescent="0.3">
      <c r="A366" s="11">
        <v>115077.59206686732</v>
      </c>
    </row>
    <row r="367" spans="1:1" x14ac:dyDescent="0.3">
      <c r="A367" s="11">
        <v>114899.21248958792</v>
      </c>
    </row>
    <row r="368" spans="1:1" x14ac:dyDescent="0.3">
      <c r="A368" s="11">
        <v>114829.95378139334</v>
      </c>
    </row>
    <row r="369" spans="1:1" x14ac:dyDescent="0.3">
      <c r="A369" s="11">
        <v>114816.07111449013</v>
      </c>
    </row>
    <row r="370" spans="1:1" x14ac:dyDescent="0.3">
      <c r="A370" s="11">
        <v>114673.19000102798</v>
      </c>
    </row>
    <row r="371" spans="1:1" x14ac:dyDescent="0.3">
      <c r="A371" s="11">
        <v>114578.53981948519</v>
      </c>
    </row>
    <row r="372" spans="1:1" x14ac:dyDescent="0.3">
      <c r="A372" s="11">
        <v>114471.9733229182</v>
      </c>
    </row>
    <row r="373" spans="1:1" x14ac:dyDescent="0.3">
      <c r="A373" s="11">
        <v>114377.06829045754</v>
      </c>
    </row>
    <row r="374" spans="1:1" x14ac:dyDescent="0.3">
      <c r="A374" s="11">
        <v>114335.72944503279</v>
      </c>
    </row>
    <row r="375" spans="1:1" x14ac:dyDescent="0.3">
      <c r="A375" s="11">
        <v>114195.64199676226</v>
      </c>
    </row>
    <row r="376" spans="1:1" x14ac:dyDescent="0.3">
      <c r="A376" s="11">
        <v>114128.77044978505</v>
      </c>
    </row>
    <row r="377" spans="1:1" x14ac:dyDescent="0.3">
      <c r="A377" s="11">
        <v>114007.32876416499</v>
      </c>
    </row>
    <row r="378" spans="1:1" x14ac:dyDescent="0.3">
      <c r="A378" s="11">
        <v>113974.36459687531</v>
      </c>
    </row>
    <row r="379" spans="1:1" x14ac:dyDescent="0.3">
      <c r="A379" s="11">
        <v>113907.56095047007</v>
      </c>
    </row>
    <row r="380" spans="1:1" x14ac:dyDescent="0.3">
      <c r="A380" s="11">
        <v>113904.19788582876</v>
      </c>
    </row>
    <row r="381" spans="1:1" x14ac:dyDescent="0.3">
      <c r="A381" s="11">
        <v>113883.11127083912</v>
      </c>
    </row>
    <row r="382" spans="1:1" x14ac:dyDescent="0.3">
      <c r="A382" s="11">
        <v>113807.078786974</v>
      </c>
    </row>
    <row r="383" spans="1:1" x14ac:dyDescent="0.3">
      <c r="A383" s="11">
        <v>113776.41872745212</v>
      </c>
    </row>
    <row r="384" spans="1:1" x14ac:dyDescent="0.3">
      <c r="A384" s="11">
        <v>113762.46287210677</v>
      </c>
    </row>
    <row r="385" spans="1:1" x14ac:dyDescent="0.3">
      <c r="A385" s="11">
        <v>113544.85320424044</v>
      </c>
    </row>
    <row r="386" spans="1:1" x14ac:dyDescent="0.3">
      <c r="A386" s="11">
        <v>113486.68045293793</v>
      </c>
    </row>
    <row r="387" spans="1:1" x14ac:dyDescent="0.3">
      <c r="A387" s="11">
        <v>113410.92032968212</v>
      </c>
    </row>
    <row r="388" spans="1:1" x14ac:dyDescent="0.3">
      <c r="A388" s="11">
        <v>113281.79929390931</v>
      </c>
    </row>
    <row r="389" spans="1:1" x14ac:dyDescent="0.3">
      <c r="A389" s="11">
        <v>113274.47049162305</v>
      </c>
    </row>
    <row r="390" spans="1:1" x14ac:dyDescent="0.3">
      <c r="A390" s="11">
        <v>113233.61718517353</v>
      </c>
    </row>
    <row r="391" spans="1:1" x14ac:dyDescent="0.3">
      <c r="A391" s="11">
        <v>113222.0917662681</v>
      </c>
    </row>
    <row r="392" spans="1:1" x14ac:dyDescent="0.3">
      <c r="A392" s="11">
        <v>113148.18393939064</v>
      </c>
    </row>
    <row r="393" spans="1:1" x14ac:dyDescent="0.3">
      <c r="A393" s="11">
        <v>112771.94231209191</v>
      </c>
    </row>
    <row r="394" spans="1:1" x14ac:dyDescent="0.3">
      <c r="A394" s="11">
        <v>112724.01179194628</v>
      </c>
    </row>
    <row r="395" spans="1:1" x14ac:dyDescent="0.3">
      <c r="A395" s="11">
        <v>112540.68532203246</v>
      </c>
    </row>
    <row r="396" spans="1:1" x14ac:dyDescent="0.3">
      <c r="A396" s="11">
        <v>112477.66863739064</v>
      </c>
    </row>
    <row r="397" spans="1:1" x14ac:dyDescent="0.3">
      <c r="A397" s="11">
        <v>112465.92091787141</v>
      </c>
    </row>
    <row r="398" spans="1:1" x14ac:dyDescent="0.3">
      <c r="A398" s="11">
        <v>112429.4281188263</v>
      </c>
    </row>
    <row r="399" spans="1:1" x14ac:dyDescent="0.3">
      <c r="A399" s="11">
        <v>112336.83083091705</v>
      </c>
    </row>
    <row r="400" spans="1:1" x14ac:dyDescent="0.3">
      <c r="A400" s="11">
        <v>112047.33019740337</v>
      </c>
    </row>
    <row r="401" spans="1:1" x14ac:dyDescent="0.3">
      <c r="A401" s="11">
        <v>112025.08774731396</v>
      </c>
    </row>
    <row r="402" spans="1:1" x14ac:dyDescent="0.3">
      <c r="A402" s="11">
        <v>111963.43999658419</v>
      </c>
    </row>
    <row r="403" spans="1:1" x14ac:dyDescent="0.3">
      <c r="A403" s="11">
        <v>111492.45636928579</v>
      </c>
    </row>
    <row r="404" spans="1:1" x14ac:dyDescent="0.3">
      <c r="A404" s="11">
        <v>111459.33760861981</v>
      </c>
    </row>
    <row r="405" spans="1:1" x14ac:dyDescent="0.3">
      <c r="A405" s="11">
        <v>111409.9192587677</v>
      </c>
    </row>
    <row r="406" spans="1:1" x14ac:dyDescent="0.3">
      <c r="A406" s="11">
        <v>111325.98431539284</v>
      </c>
    </row>
    <row r="407" spans="1:1" x14ac:dyDescent="0.3">
      <c r="A407" s="11">
        <v>111095.4626459406</v>
      </c>
    </row>
    <row r="408" spans="1:1" x14ac:dyDescent="0.3">
      <c r="A408" s="11">
        <v>111038.76921621275</v>
      </c>
    </row>
    <row r="409" spans="1:1" x14ac:dyDescent="0.3">
      <c r="A409" s="11">
        <v>111021.61740352437</v>
      </c>
    </row>
    <row r="410" spans="1:1" x14ac:dyDescent="0.3">
      <c r="A410" s="11">
        <v>110970.46112034046</v>
      </c>
    </row>
    <row r="411" spans="1:1" x14ac:dyDescent="0.3">
      <c r="A411" s="11">
        <v>110908.45039835974</v>
      </c>
    </row>
    <row r="412" spans="1:1" x14ac:dyDescent="0.3">
      <c r="A412" s="11">
        <v>110779.87266870335</v>
      </c>
    </row>
    <row r="413" spans="1:1" x14ac:dyDescent="0.3">
      <c r="A413" s="11">
        <v>110580.9821086343</v>
      </c>
    </row>
    <row r="414" spans="1:1" x14ac:dyDescent="0.3">
      <c r="A414" s="11">
        <v>110549.83693004222</v>
      </c>
    </row>
    <row r="415" spans="1:1" x14ac:dyDescent="0.3">
      <c r="A415" s="11">
        <v>110481.56659748743</v>
      </c>
    </row>
    <row r="416" spans="1:1" x14ac:dyDescent="0.3">
      <c r="A416" s="11">
        <v>110392.33984733791</v>
      </c>
    </row>
    <row r="417" spans="1:1" x14ac:dyDescent="0.3">
      <c r="A417" s="11">
        <v>110337.58212626394</v>
      </c>
    </row>
    <row r="418" spans="1:1" x14ac:dyDescent="0.3">
      <c r="A418" s="11">
        <v>110273.86941053189</v>
      </c>
    </row>
    <row r="419" spans="1:1" x14ac:dyDescent="0.3">
      <c r="A419" s="11">
        <v>110121.84449061063</v>
      </c>
    </row>
    <row r="420" spans="1:1" x14ac:dyDescent="0.3">
      <c r="A420" s="11">
        <v>110085.54631337748</v>
      </c>
    </row>
    <row r="421" spans="1:1" x14ac:dyDescent="0.3">
      <c r="A421" s="11">
        <v>109974.90453290763</v>
      </c>
    </row>
    <row r="422" spans="1:1" x14ac:dyDescent="0.3">
      <c r="A422" s="11">
        <v>109501.00997879103</v>
      </c>
    </row>
    <row r="423" spans="1:1" x14ac:dyDescent="0.3">
      <c r="A423" s="11">
        <v>109442.48246209981</v>
      </c>
    </row>
    <row r="424" spans="1:1" x14ac:dyDescent="0.3">
      <c r="A424" s="11">
        <v>109372.87394614777</v>
      </c>
    </row>
    <row r="425" spans="1:1" x14ac:dyDescent="0.3">
      <c r="A425" s="11">
        <v>109315.19927722665</v>
      </c>
    </row>
    <row r="426" spans="1:1" x14ac:dyDescent="0.3">
      <c r="A426" s="11">
        <v>109254.04540587254</v>
      </c>
    </row>
    <row r="427" spans="1:1" x14ac:dyDescent="0.3">
      <c r="A427" s="11">
        <v>109209.75873226202</v>
      </c>
    </row>
    <row r="428" spans="1:1" x14ac:dyDescent="0.3">
      <c r="A428" s="11">
        <v>109145.46700405267</v>
      </c>
    </row>
    <row r="429" spans="1:1" x14ac:dyDescent="0.3">
      <c r="A429" s="11">
        <v>109100.56973606232</v>
      </c>
    </row>
    <row r="430" spans="1:1" x14ac:dyDescent="0.3">
      <c r="A430" s="11">
        <v>109077.59910841592</v>
      </c>
    </row>
    <row r="431" spans="1:1" x14ac:dyDescent="0.3">
      <c r="A431" s="11">
        <v>108790.59794298293</v>
      </c>
    </row>
    <row r="432" spans="1:1" x14ac:dyDescent="0.3">
      <c r="A432" s="11">
        <v>108701.75067446555</v>
      </c>
    </row>
    <row r="433" spans="1:1" x14ac:dyDescent="0.3">
      <c r="A433" s="11">
        <v>108556.89733515271</v>
      </c>
    </row>
    <row r="434" spans="1:1" x14ac:dyDescent="0.3">
      <c r="A434" s="11">
        <v>108543.46320104046</v>
      </c>
    </row>
    <row r="435" spans="1:1" x14ac:dyDescent="0.3">
      <c r="A435" s="11">
        <v>108507.82757557945</v>
      </c>
    </row>
    <row r="436" spans="1:1" x14ac:dyDescent="0.3">
      <c r="A436" s="11">
        <v>108410.72373234647</v>
      </c>
    </row>
    <row r="437" spans="1:1" x14ac:dyDescent="0.3">
      <c r="A437" s="11">
        <v>108343.70509660621</v>
      </c>
    </row>
    <row r="438" spans="1:1" x14ac:dyDescent="0.3">
      <c r="A438" s="11">
        <v>108299.71218210818</v>
      </c>
    </row>
    <row r="439" spans="1:1" x14ac:dyDescent="0.3">
      <c r="A439" s="11">
        <v>108247.17945048871</v>
      </c>
    </row>
    <row r="440" spans="1:1" x14ac:dyDescent="0.3">
      <c r="A440" s="11">
        <v>108209.32468700212</v>
      </c>
    </row>
    <row r="441" spans="1:1" x14ac:dyDescent="0.3">
      <c r="A441" s="11">
        <v>108094.45806186857</v>
      </c>
    </row>
    <row r="442" spans="1:1" x14ac:dyDescent="0.3">
      <c r="A442" s="11">
        <v>107968.26960488842</v>
      </c>
    </row>
    <row r="443" spans="1:1" x14ac:dyDescent="0.3">
      <c r="A443" s="11">
        <v>107948.49062922825</v>
      </c>
    </row>
    <row r="444" spans="1:1" x14ac:dyDescent="0.3">
      <c r="A444" s="11">
        <v>107909.05910110088</v>
      </c>
    </row>
    <row r="445" spans="1:1" x14ac:dyDescent="0.3">
      <c r="A445" s="11">
        <v>107675.65301236237</v>
      </c>
    </row>
    <row r="446" spans="1:1" x14ac:dyDescent="0.3">
      <c r="A446" s="11">
        <v>107547.43207572609</v>
      </c>
    </row>
    <row r="447" spans="1:1" x14ac:dyDescent="0.3">
      <c r="A447" s="11">
        <v>107531.91005132707</v>
      </c>
    </row>
    <row r="448" spans="1:1" x14ac:dyDescent="0.3">
      <c r="A448" s="11">
        <v>107428.41157116009</v>
      </c>
    </row>
    <row r="449" spans="1:1" x14ac:dyDescent="0.3">
      <c r="A449" s="11">
        <v>107425.13304352076</v>
      </c>
    </row>
    <row r="450" spans="1:1" x14ac:dyDescent="0.3">
      <c r="A450" s="11">
        <v>107339.42883201936</v>
      </c>
    </row>
    <row r="451" spans="1:1" x14ac:dyDescent="0.3">
      <c r="A451" s="11">
        <v>107281.60555747103</v>
      </c>
    </row>
    <row r="452" spans="1:1" x14ac:dyDescent="0.3">
      <c r="A452" s="11">
        <v>107185.72972148014</v>
      </c>
    </row>
    <row r="453" spans="1:1" x14ac:dyDescent="0.3">
      <c r="A453" s="11">
        <v>106956.1779711753</v>
      </c>
    </row>
    <row r="454" spans="1:1" x14ac:dyDescent="0.3">
      <c r="A454" s="11">
        <v>106928.93707460129</v>
      </c>
    </row>
    <row r="455" spans="1:1" x14ac:dyDescent="0.3">
      <c r="A455" s="11">
        <v>106915.66611715713</v>
      </c>
    </row>
    <row r="456" spans="1:1" x14ac:dyDescent="0.3">
      <c r="A456" s="11">
        <v>106591.34352751051</v>
      </c>
    </row>
    <row r="457" spans="1:1" x14ac:dyDescent="0.3">
      <c r="A457" s="11">
        <v>106434.22283941503</v>
      </c>
    </row>
    <row r="458" spans="1:1" x14ac:dyDescent="0.3">
      <c r="A458" s="11">
        <v>106400.48466291267</v>
      </c>
    </row>
    <row r="459" spans="1:1" x14ac:dyDescent="0.3">
      <c r="A459" s="11">
        <v>106391.4236572595</v>
      </c>
    </row>
    <row r="460" spans="1:1" x14ac:dyDescent="0.3">
      <c r="A460" s="11">
        <v>106320.37220706574</v>
      </c>
    </row>
    <row r="461" spans="1:1" x14ac:dyDescent="0.3">
      <c r="A461" s="11">
        <v>106317.85300542314</v>
      </c>
    </row>
    <row r="462" spans="1:1" x14ac:dyDescent="0.3">
      <c r="A462" s="11">
        <v>106265.5207588303</v>
      </c>
    </row>
    <row r="463" spans="1:1" x14ac:dyDescent="0.3">
      <c r="A463" s="11">
        <v>106207.0255042483</v>
      </c>
    </row>
    <row r="464" spans="1:1" x14ac:dyDescent="0.3">
      <c r="A464" s="11">
        <v>106038.02062647419</v>
      </c>
    </row>
    <row r="465" spans="1:1" x14ac:dyDescent="0.3">
      <c r="A465" s="11">
        <v>105778.90037896797</v>
      </c>
    </row>
    <row r="466" spans="1:1" x14ac:dyDescent="0.3">
      <c r="A466" s="11">
        <v>105439.11820071965</v>
      </c>
    </row>
    <row r="467" spans="1:1" x14ac:dyDescent="0.3">
      <c r="A467" s="11">
        <v>105336.91360889873</v>
      </c>
    </row>
    <row r="468" spans="1:1" x14ac:dyDescent="0.3">
      <c r="A468" s="11">
        <v>105249.91166477033</v>
      </c>
    </row>
    <row r="469" spans="1:1" x14ac:dyDescent="0.3">
      <c r="A469" s="11">
        <v>105248.77703213399</v>
      </c>
    </row>
    <row r="470" spans="1:1" x14ac:dyDescent="0.3">
      <c r="A470" s="11">
        <v>105247.48755173526</v>
      </c>
    </row>
    <row r="471" spans="1:1" x14ac:dyDescent="0.3">
      <c r="A471" s="11">
        <v>105169.26833397543</v>
      </c>
    </row>
    <row r="472" spans="1:1" x14ac:dyDescent="0.3">
      <c r="A472" s="11">
        <v>105124.95998652217</v>
      </c>
    </row>
    <row r="473" spans="1:1" x14ac:dyDescent="0.3">
      <c r="A473" s="11">
        <v>105082.79212754671</v>
      </c>
    </row>
    <row r="474" spans="1:1" x14ac:dyDescent="0.3">
      <c r="A474" s="11">
        <v>105064.45128345875</v>
      </c>
    </row>
    <row r="475" spans="1:1" x14ac:dyDescent="0.3">
      <c r="A475" s="11">
        <v>105020.15683472136</v>
      </c>
    </row>
    <row r="476" spans="1:1" x14ac:dyDescent="0.3">
      <c r="A476" s="11">
        <v>105015.40633159407</v>
      </c>
    </row>
    <row r="477" spans="1:1" x14ac:dyDescent="0.3">
      <c r="A477" s="11">
        <v>104973.51813079034</v>
      </c>
    </row>
    <row r="478" spans="1:1" x14ac:dyDescent="0.3">
      <c r="A478" s="11">
        <v>104758.34373365212</v>
      </c>
    </row>
    <row r="479" spans="1:1" x14ac:dyDescent="0.3">
      <c r="A479" s="11">
        <v>104684.09460977663</v>
      </c>
    </row>
    <row r="480" spans="1:1" x14ac:dyDescent="0.3">
      <c r="A480" s="11">
        <v>104674.62244849843</v>
      </c>
    </row>
    <row r="481" spans="1:1" x14ac:dyDescent="0.3">
      <c r="A481" s="11">
        <v>104640.53602665845</v>
      </c>
    </row>
    <row r="482" spans="1:1" x14ac:dyDescent="0.3">
      <c r="A482" s="11">
        <v>104529.59072113119</v>
      </c>
    </row>
    <row r="483" spans="1:1" x14ac:dyDescent="0.3">
      <c r="A483" s="11">
        <v>104461.50857872021</v>
      </c>
    </row>
    <row r="484" spans="1:1" x14ac:dyDescent="0.3">
      <c r="A484" s="11">
        <v>104348.94779639418</v>
      </c>
    </row>
    <row r="485" spans="1:1" x14ac:dyDescent="0.3">
      <c r="A485" s="11">
        <v>104331.93250467884</v>
      </c>
    </row>
    <row r="486" spans="1:1" x14ac:dyDescent="0.3">
      <c r="A486" s="11">
        <v>104130.72480544442</v>
      </c>
    </row>
    <row r="487" spans="1:1" x14ac:dyDescent="0.3">
      <c r="A487" s="11">
        <v>104113.81182384914</v>
      </c>
    </row>
    <row r="488" spans="1:1" x14ac:dyDescent="0.3">
      <c r="A488" s="11">
        <v>104065.56010588037</v>
      </c>
    </row>
    <row r="489" spans="1:1" x14ac:dyDescent="0.3">
      <c r="A489" s="11">
        <v>104032.87912878316</v>
      </c>
    </row>
    <row r="490" spans="1:1" x14ac:dyDescent="0.3">
      <c r="A490" s="11">
        <v>103990.07228901463</v>
      </c>
    </row>
    <row r="491" spans="1:1" x14ac:dyDescent="0.3">
      <c r="A491" s="11">
        <v>103656.94824475635</v>
      </c>
    </row>
    <row r="492" spans="1:1" x14ac:dyDescent="0.3">
      <c r="A492" s="11">
        <v>103582.08739311823</v>
      </c>
    </row>
    <row r="493" spans="1:1" x14ac:dyDescent="0.3">
      <c r="A493" s="11">
        <v>103477.47601165489</v>
      </c>
    </row>
    <row r="494" spans="1:1" x14ac:dyDescent="0.3">
      <c r="A494" s="11">
        <v>103391.47790621087</v>
      </c>
    </row>
    <row r="495" spans="1:1" x14ac:dyDescent="0.3">
      <c r="A495" s="11">
        <v>103383.63424109148</v>
      </c>
    </row>
    <row r="496" spans="1:1" x14ac:dyDescent="0.3">
      <c r="A496" s="11">
        <v>103282.13228399382</v>
      </c>
    </row>
    <row r="497" spans="1:1" x14ac:dyDescent="0.3">
      <c r="A497" s="11">
        <v>103265.18555948492</v>
      </c>
    </row>
    <row r="498" spans="1:1" x14ac:dyDescent="0.3">
      <c r="A498" s="11">
        <v>103215.9612964418</v>
      </c>
    </row>
    <row r="499" spans="1:1" x14ac:dyDescent="0.3">
      <c r="A499" s="11">
        <v>103169.17547330805</v>
      </c>
    </row>
    <row r="500" spans="1:1" x14ac:dyDescent="0.3">
      <c r="A500" s="11">
        <v>103089.30974694129</v>
      </c>
    </row>
    <row r="501" spans="1:1" x14ac:dyDescent="0.3">
      <c r="A501" s="11">
        <v>103024.46542465589</v>
      </c>
    </row>
    <row r="502" spans="1:1" x14ac:dyDescent="0.3">
      <c r="A502" s="11">
        <v>102836.43912237138</v>
      </c>
    </row>
    <row r="503" spans="1:1" x14ac:dyDescent="0.3">
      <c r="A503" s="11">
        <v>102714.90214130552</v>
      </c>
    </row>
    <row r="504" spans="1:1" x14ac:dyDescent="0.3">
      <c r="A504" s="11">
        <v>102683.76173734559</v>
      </c>
    </row>
    <row r="505" spans="1:1" x14ac:dyDescent="0.3">
      <c r="A505" s="11">
        <v>102677.43299951777</v>
      </c>
    </row>
    <row r="506" spans="1:1" x14ac:dyDescent="0.3">
      <c r="A506" s="11">
        <v>102663.61785531879</v>
      </c>
    </row>
    <row r="507" spans="1:1" x14ac:dyDescent="0.3">
      <c r="A507" s="11">
        <v>102659.03682965481</v>
      </c>
    </row>
    <row r="508" spans="1:1" x14ac:dyDescent="0.3">
      <c r="A508" s="11">
        <v>102536.19855193992</v>
      </c>
    </row>
    <row r="509" spans="1:1" x14ac:dyDescent="0.3">
      <c r="A509" s="11">
        <v>102515.42722736647</v>
      </c>
    </row>
    <row r="510" spans="1:1" x14ac:dyDescent="0.3">
      <c r="A510" s="11">
        <v>102349.72748231119</v>
      </c>
    </row>
    <row r="511" spans="1:1" x14ac:dyDescent="0.3">
      <c r="A511" s="11">
        <v>102287.91731884917</v>
      </c>
    </row>
    <row r="512" spans="1:1" x14ac:dyDescent="0.3">
      <c r="A512" s="11">
        <v>102072.0209078522</v>
      </c>
    </row>
    <row r="513" spans="1:1" x14ac:dyDescent="0.3">
      <c r="A513" s="11">
        <v>101893.67509549684</v>
      </c>
    </row>
    <row r="514" spans="1:1" x14ac:dyDescent="0.3">
      <c r="A514" s="11">
        <v>101879.78523837503</v>
      </c>
    </row>
    <row r="515" spans="1:1" x14ac:dyDescent="0.3">
      <c r="A515" s="11">
        <v>101590.18193300263</v>
      </c>
    </row>
    <row r="516" spans="1:1" x14ac:dyDescent="0.3">
      <c r="A516" s="11">
        <v>101435.54129645832</v>
      </c>
    </row>
    <row r="517" spans="1:1" x14ac:dyDescent="0.3">
      <c r="A517" s="11">
        <v>101364.83367882522</v>
      </c>
    </row>
    <row r="518" spans="1:1" x14ac:dyDescent="0.3">
      <c r="A518" s="11">
        <v>101103.44428939671</v>
      </c>
    </row>
    <row r="519" spans="1:1" x14ac:dyDescent="0.3">
      <c r="A519" s="11">
        <v>101099.34354633871</v>
      </c>
    </row>
    <row r="520" spans="1:1" x14ac:dyDescent="0.3">
      <c r="A520" s="11">
        <v>101045.47453593789</v>
      </c>
    </row>
    <row r="521" spans="1:1" x14ac:dyDescent="0.3">
      <c r="A521" s="11">
        <v>100948.49643988107</v>
      </c>
    </row>
    <row r="522" spans="1:1" x14ac:dyDescent="0.3">
      <c r="A522" s="11">
        <v>100822.15262365427</v>
      </c>
    </row>
    <row r="523" spans="1:1" x14ac:dyDescent="0.3">
      <c r="A523" s="11">
        <v>100802.54946077957</v>
      </c>
    </row>
    <row r="524" spans="1:1" x14ac:dyDescent="0.3">
      <c r="A524" s="11">
        <v>100721.29159781666</v>
      </c>
    </row>
    <row r="525" spans="1:1" x14ac:dyDescent="0.3">
      <c r="A525" s="11">
        <v>100516.58963576329</v>
      </c>
    </row>
    <row r="526" spans="1:1" x14ac:dyDescent="0.3">
      <c r="A526" s="11">
        <v>100405.57561036051</v>
      </c>
    </row>
    <row r="527" spans="1:1" x14ac:dyDescent="0.3">
      <c r="A527" s="11">
        <v>100391.42100311664</v>
      </c>
    </row>
    <row r="528" spans="1:1" x14ac:dyDescent="0.3">
      <c r="A528" s="11">
        <v>100244.64680437598</v>
      </c>
    </row>
    <row r="529" spans="1:1" x14ac:dyDescent="0.3">
      <c r="A529" s="11">
        <v>100217.02655871575</v>
      </c>
    </row>
    <row r="530" spans="1:1" x14ac:dyDescent="0.3">
      <c r="A530" s="11">
        <v>100139.77500458551</v>
      </c>
    </row>
    <row r="531" spans="1:1" x14ac:dyDescent="0.3">
      <c r="A531" s="11">
        <v>100061.73510398499</v>
      </c>
    </row>
    <row r="532" spans="1:1" x14ac:dyDescent="0.3">
      <c r="A532" s="11">
        <v>99796.238239452156</v>
      </c>
    </row>
    <row r="533" spans="1:1" x14ac:dyDescent="0.3">
      <c r="A533" s="11">
        <v>99791.838502760293</v>
      </c>
    </row>
    <row r="534" spans="1:1" x14ac:dyDescent="0.3">
      <c r="A534" s="11">
        <v>99778.565059555956</v>
      </c>
    </row>
    <row r="535" spans="1:1" x14ac:dyDescent="0.3">
      <c r="A535" s="11">
        <v>99760.382265454915</v>
      </c>
    </row>
    <row r="536" spans="1:1" x14ac:dyDescent="0.3">
      <c r="A536" s="11">
        <v>99561.384302448758</v>
      </c>
    </row>
    <row r="537" spans="1:1" x14ac:dyDescent="0.3">
      <c r="A537" s="11">
        <v>99494.747058139546</v>
      </c>
    </row>
    <row r="538" spans="1:1" x14ac:dyDescent="0.3">
      <c r="A538" s="11">
        <v>99493.36008876565</v>
      </c>
    </row>
    <row r="539" spans="1:1" x14ac:dyDescent="0.3">
      <c r="A539" s="11">
        <v>99412.362504488832</v>
      </c>
    </row>
    <row r="540" spans="1:1" x14ac:dyDescent="0.3">
      <c r="A540" s="11">
        <v>99245.463242251746</v>
      </c>
    </row>
    <row r="541" spans="1:1" x14ac:dyDescent="0.3">
      <c r="A541" s="11">
        <v>99158.983150155022</v>
      </c>
    </row>
    <row r="542" spans="1:1" x14ac:dyDescent="0.3">
      <c r="A542" s="11">
        <v>99142.93387204266</v>
      </c>
    </row>
    <row r="543" spans="1:1" x14ac:dyDescent="0.3">
      <c r="A543" s="11">
        <v>98952.649919625808</v>
      </c>
    </row>
    <row r="544" spans="1:1" x14ac:dyDescent="0.3">
      <c r="A544" s="11">
        <v>98943.398553632884</v>
      </c>
    </row>
    <row r="545" spans="1:1" x14ac:dyDescent="0.3">
      <c r="A545" s="11">
        <v>98919.857964849449</v>
      </c>
    </row>
    <row r="546" spans="1:1" x14ac:dyDescent="0.3">
      <c r="A546" s="11">
        <v>98736.628292268942</v>
      </c>
    </row>
    <row r="547" spans="1:1" x14ac:dyDescent="0.3">
      <c r="A547" s="11">
        <v>98686.049749068799</v>
      </c>
    </row>
    <row r="548" spans="1:1" x14ac:dyDescent="0.3">
      <c r="A548" s="11">
        <v>98678.532632524424</v>
      </c>
    </row>
    <row r="549" spans="1:1" x14ac:dyDescent="0.3">
      <c r="A549" s="11">
        <v>98654.641383334179</v>
      </c>
    </row>
    <row r="550" spans="1:1" x14ac:dyDescent="0.3">
      <c r="A550" s="11">
        <v>98609.611609328174</v>
      </c>
    </row>
    <row r="551" spans="1:1" x14ac:dyDescent="0.3">
      <c r="A551" s="11">
        <v>98585.105620006318</v>
      </c>
    </row>
    <row r="552" spans="1:1" x14ac:dyDescent="0.3">
      <c r="A552" s="11">
        <v>98501.0737032014</v>
      </c>
    </row>
    <row r="553" spans="1:1" x14ac:dyDescent="0.3">
      <c r="A553" s="11">
        <v>98371.289214757155</v>
      </c>
    </row>
    <row r="554" spans="1:1" x14ac:dyDescent="0.3">
      <c r="A554" s="11">
        <v>98345.233940803184</v>
      </c>
    </row>
    <row r="555" spans="1:1" x14ac:dyDescent="0.3">
      <c r="A555" s="11">
        <v>98295.124086562835</v>
      </c>
    </row>
    <row r="556" spans="1:1" x14ac:dyDescent="0.3">
      <c r="A556" s="11">
        <v>98243.360262274102</v>
      </c>
    </row>
    <row r="557" spans="1:1" x14ac:dyDescent="0.3">
      <c r="A557" s="11">
        <v>98231.471163995549</v>
      </c>
    </row>
    <row r="558" spans="1:1" x14ac:dyDescent="0.3">
      <c r="A558" s="11">
        <v>98162.857246604573</v>
      </c>
    </row>
    <row r="559" spans="1:1" x14ac:dyDescent="0.3">
      <c r="A559" s="11">
        <v>98140.859339437025</v>
      </c>
    </row>
    <row r="560" spans="1:1" x14ac:dyDescent="0.3">
      <c r="A560" s="11">
        <v>98060.965287940984</v>
      </c>
    </row>
    <row r="561" spans="1:1" x14ac:dyDescent="0.3">
      <c r="A561" s="11">
        <v>97990.514217175471</v>
      </c>
    </row>
    <row r="562" spans="1:1" x14ac:dyDescent="0.3">
      <c r="A562" s="11">
        <v>97868.457423352593</v>
      </c>
    </row>
    <row r="563" spans="1:1" x14ac:dyDescent="0.3">
      <c r="A563" s="11">
        <v>97865.723205329661</v>
      </c>
    </row>
    <row r="564" spans="1:1" x14ac:dyDescent="0.3">
      <c r="A564" s="11">
        <v>97802.888619447345</v>
      </c>
    </row>
    <row r="565" spans="1:1" x14ac:dyDescent="0.3">
      <c r="A565" s="11">
        <v>97764.544816779948</v>
      </c>
    </row>
    <row r="566" spans="1:1" x14ac:dyDescent="0.3">
      <c r="A566" s="11">
        <v>97744.136810589043</v>
      </c>
    </row>
    <row r="567" spans="1:1" x14ac:dyDescent="0.3">
      <c r="A567" s="11">
        <v>97620.469415032829</v>
      </c>
    </row>
    <row r="568" spans="1:1" x14ac:dyDescent="0.3">
      <c r="A568" s="11">
        <v>97511.709700092324</v>
      </c>
    </row>
    <row r="569" spans="1:1" x14ac:dyDescent="0.3">
      <c r="A569" s="11">
        <v>97190.364445347281</v>
      </c>
    </row>
    <row r="570" spans="1:1" x14ac:dyDescent="0.3">
      <c r="A570" s="11">
        <v>97146.733746026628</v>
      </c>
    </row>
    <row r="571" spans="1:1" x14ac:dyDescent="0.3">
      <c r="A571" s="11">
        <v>97017.632194516904</v>
      </c>
    </row>
    <row r="572" spans="1:1" x14ac:dyDescent="0.3">
      <c r="A572" s="11">
        <v>96963.841296710933</v>
      </c>
    </row>
    <row r="573" spans="1:1" x14ac:dyDescent="0.3">
      <c r="A573" s="11">
        <v>96808.670725067946</v>
      </c>
    </row>
    <row r="574" spans="1:1" x14ac:dyDescent="0.3">
      <c r="A574" s="11">
        <v>96783.387477262979</v>
      </c>
    </row>
    <row r="575" spans="1:1" x14ac:dyDescent="0.3">
      <c r="A575" s="11">
        <v>96729.135883793162</v>
      </c>
    </row>
    <row r="576" spans="1:1" x14ac:dyDescent="0.3">
      <c r="A576" s="11">
        <v>96717.339335662109</v>
      </c>
    </row>
    <row r="577" spans="1:1" x14ac:dyDescent="0.3">
      <c r="A577" s="11">
        <v>96697.402846786266</v>
      </c>
    </row>
    <row r="578" spans="1:1" x14ac:dyDescent="0.3">
      <c r="A578" s="11">
        <v>96679.858733217276</v>
      </c>
    </row>
    <row r="579" spans="1:1" x14ac:dyDescent="0.3">
      <c r="A579" s="11">
        <v>96646.006947886272</v>
      </c>
    </row>
    <row r="580" spans="1:1" x14ac:dyDescent="0.3">
      <c r="A580" s="11">
        <v>96590.946485237509</v>
      </c>
    </row>
    <row r="581" spans="1:1" x14ac:dyDescent="0.3">
      <c r="A581" s="11">
        <v>96532.577517728729</v>
      </c>
    </row>
    <row r="582" spans="1:1" x14ac:dyDescent="0.3">
      <c r="A582" s="11">
        <v>96319.46781894294</v>
      </c>
    </row>
    <row r="583" spans="1:1" x14ac:dyDescent="0.3">
      <c r="A583" s="11">
        <v>96145.718891626952</v>
      </c>
    </row>
    <row r="584" spans="1:1" x14ac:dyDescent="0.3">
      <c r="A584" s="11">
        <v>96133.645562662015</v>
      </c>
    </row>
    <row r="585" spans="1:1" x14ac:dyDescent="0.3">
      <c r="A585" s="11">
        <v>96116.19197516788</v>
      </c>
    </row>
    <row r="586" spans="1:1" x14ac:dyDescent="0.3">
      <c r="A586" s="11">
        <v>95935.11446542629</v>
      </c>
    </row>
    <row r="587" spans="1:1" x14ac:dyDescent="0.3">
      <c r="A587" s="11">
        <v>95864.492381012737</v>
      </c>
    </row>
    <row r="588" spans="1:1" x14ac:dyDescent="0.3">
      <c r="A588" s="11">
        <v>95854.185261045583</v>
      </c>
    </row>
    <row r="589" spans="1:1" x14ac:dyDescent="0.3">
      <c r="A589" s="11">
        <v>95851.502091474118</v>
      </c>
    </row>
    <row r="590" spans="1:1" x14ac:dyDescent="0.3">
      <c r="A590" s="11">
        <v>95772.337597584454</v>
      </c>
    </row>
    <row r="591" spans="1:1" x14ac:dyDescent="0.3">
      <c r="A591" s="11">
        <v>95709.432314629157</v>
      </c>
    </row>
    <row r="592" spans="1:1" x14ac:dyDescent="0.3">
      <c r="A592" s="11">
        <v>95680.050537792995</v>
      </c>
    </row>
    <row r="593" spans="1:1" x14ac:dyDescent="0.3">
      <c r="A593" s="11">
        <v>95672.359307594859</v>
      </c>
    </row>
    <row r="594" spans="1:1" x14ac:dyDescent="0.3">
      <c r="A594" s="11">
        <v>95637.114704415362</v>
      </c>
    </row>
    <row r="595" spans="1:1" x14ac:dyDescent="0.3">
      <c r="A595" s="11">
        <v>95552.572589086281</v>
      </c>
    </row>
    <row r="596" spans="1:1" x14ac:dyDescent="0.3">
      <c r="A596" s="11">
        <v>95459.568436102127</v>
      </c>
    </row>
    <row r="597" spans="1:1" x14ac:dyDescent="0.3">
      <c r="A597" s="11">
        <v>95433.108471711006</v>
      </c>
    </row>
    <row r="598" spans="1:1" x14ac:dyDescent="0.3">
      <c r="A598" s="11">
        <v>95426.439009254333</v>
      </c>
    </row>
    <row r="599" spans="1:1" x14ac:dyDescent="0.3">
      <c r="A599" s="11">
        <v>95326.032738407026</v>
      </c>
    </row>
    <row r="600" spans="1:1" x14ac:dyDescent="0.3">
      <c r="A600" s="11">
        <v>95234.430448475774</v>
      </c>
    </row>
    <row r="601" spans="1:1" x14ac:dyDescent="0.3">
      <c r="A601" s="11">
        <v>95194.664231270537</v>
      </c>
    </row>
    <row r="602" spans="1:1" x14ac:dyDescent="0.3">
      <c r="A602" s="11">
        <v>95174.805960135433</v>
      </c>
    </row>
    <row r="603" spans="1:1" x14ac:dyDescent="0.3">
      <c r="A603" s="11">
        <v>95162.771147960986</v>
      </c>
    </row>
    <row r="604" spans="1:1" x14ac:dyDescent="0.3">
      <c r="A604" s="11">
        <v>95112.029617709864</v>
      </c>
    </row>
    <row r="605" spans="1:1" x14ac:dyDescent="0.3">
      <c r="A605" s="11">
        <v>95086.620701772539</v>
      </c>
    </row>
    <row r="606" spans="1:1" x14ac:dyDescent="0.3">
      <c r="A606" s="11">
        <v>95065.351255770613</v>
      </c>
    </row>
    <row r="607" spans="1:1" x14ac:dyDescent="0.3">
      <c r="A607" s="11">
        <v>94942.601839440773</v>
      </c>
    </row>
    <row r="608" spans="1:1" x14ac:dyDescent="0.3">
      <c r="A608" s="11">
        <v>94812.446017811453</v>
      </c>
    </row>
    <row r="609" spans="1:1" x14ac:dyDescent="0.3">
      <c r="A609" s="11">
        <v>94791.288345146604</v>
      </c>
    </row>
    <row r="610" spans="1:1" x14ac:dyDescent="0.3">
      <c r="A610" s="11">
        <v>94767.029776848169</v>
      </c>
    </row>
    <row r="611" spans="1:1" x14ac:dyDescent="0.3">
      <c r="A611" s="11">
        <v>94700.135868165584</v>
      </c>
    </row>
    <row r="612" spans="1:1" x14ac:dyDescent="0.3">
      <c r="A612" s="11">
        <v>94677.205502168901</v>
      </c>
    </row>
    <row r="613" spans="1:1" x14ac:dyDescent="0.3">
      <c r="A613" s="11">
        <v>94565.12064236404</v>
      </c>
    </row>
    <row r="614" spans="1:1" x14ac:dyDescent="0.3">
      <c r="A614" s="11">
        <v>94503.811399811617</v>
      </c>
    </row>
    <row r="615" spans="1:1" x14ac:dyDescent="0.3">
      <c r="A615" s="11">
        <v>94503.123006146154</v>
      </c>
    </row>
    <row r="616" spans="1:1" x14ac:dyDescent="0.3">
      <c r="A616" s="11">
        <v>94372.097948859926</v>
      </c>
    </row>
    <row r="617" spans="1:1" x14ac:dyDescent="0.3">
      <c r="A617" s="11">
        <v>94346.607387039796</v>
      </c>
    </row>
    <row r="618" spans="1:1" x14ac:dyDescent="0.3">
      <c r="A618" s="11">
        <v>94135.805950167385</v>
      </c>
    </row>
    <row r="619" spans="1:1" x14ac:dyDescent="0.3">
      <c r="A619" s="11">
        <v>93990.838478646183</v>
      </c>
    </row>
    <row r="620" spans="1:1" x14ac:dyDescent="0.3">
      <c r="A620" s="11">
        <v>93885.18613487063</v>
      </c>
    </row>
    <row r="621" spans="1:1" x14ac:dyDescent="0.3">
      <c r="A621" s="11">
        <v>93738.187539140636</v>
      </c>
    </row>
    <row r="622" spans="1:1" x14ac:dyDescent="0.3">
      <c r="A622" s="11">
        <v>93655.714975435927</v>
      </c>
    </row>
    <row r="623" spans="1:1" x14ac:dyDescent="0.3">
      <c r="A623" s="11">
        <v>93637.585209762692</v>
      </c>
    </row>
    <row r="624" spans="1:1" x14ac:dyDescent="0.3">
      <c r="A624" s="11">
        <v>93629.063177181495</v>
      </c>
    </row>
    <row r="625" spans="1:1" x14ac:dyDescent="0.3">
      <c r="A625" s="11">
        <v>93601.625681775215</v>
      </c>
    </row>
    <row r="626" spans="1:1" x14ac:dyDescent="0.3">
      <c r="A626" s="11">
        <v>93454.633977869657</v>
      </c>
    </row>
    <row r="627" spans="1:1" x14ac:dyDescent="0.3">
      <c r="A627" s="11">
        <v>93363.733450559768</v>
      </c>
    </row>
    <row r="628" spans="1:1" x14ac:dyDescent="0.3">
      <c r="A628" s="11">
        <v>93259.97178922368</v>
      </c>
    </row>
    <row r="629" spans="1:1" x14ac:dyDescent="0.3">
      <c r="A629" s="11">
        <v>93112.434853259678</v>
      </c>
    </row>
    <row r="630" spans="1:1" x14ac:dyDescent="0.3">
      <c r="A630" s="11">
        <v>93109.517219530171</v>
      </c>
    </row>
    <row r="631" spans="1:1" x14ac:dyDescent="0.3">
      <c r="A631" s="11">
        <v>92847.617056204341</v>
      </c>
    </row>
    <row r="632" spans="1:1" x14ac:dyDescent="0.3">
      <c r="A632" s="11">
        <v>92723.439953239475</v>
      </c>
    </row>
    <row r="633" spans="1:1" x14ac:dyDescent="0.3">
      <c r="A633" s="11">
        <v>92525.688210693901</v>
      </c>
    </row>
    <row r="634" spans="1:1" x14ac:dyDescent="0.3">
      <c r="A634" s="11">
        <v>92427.909230323625</v>
      </c>
    </row>
    <row r="635" spans="1:1" x14ac:dyDescent="0.3">
      <c r="A635" s="11">
        <v>92348.533026249497</v>
      </c>
    </row>
    <row r="636" spans="1:1" x14ac:dyDescent="0.3">
      <c r="A636" s="11">
        <v>92317.344826167377</v>
      </c>
    </row>
    <row r="637" spans="1:1" x14ac:dyDescent="0.3">
      <c r="A637" s="11">
        <v>92278.805398109194</v>
      </c>
    </row>
    <row r="638" spans="1:1" x14ac:dyDescent="0.3">
      <c r="A638" s="11">
        <v>92088.640058693782</v>
      </c>
    </row>
    <row r="639" spans="1:1" x14ac:dyDescent="0.3">
      <c r="A639" s="11">
        <v>91894.580456962678</v>
      </c>
    </row>
    <row r="640" spans="1:1" x14ac:dyDescent="0.3">
      <c r="A640" s="11">
        <v>91862.461069798024</v>
      </c>
    </row>
    <row r="641" spans="1:1" x14ac:dyDescent="0.3">
      <c r="A641" s="11">
        <v>91642.374985859438</v>
      </c>
    </row>
    <row r="642" spans="1:1" x14ac:dyDescent="0.3">
      <c r="A642" s="11">
        <v>91620.196788893241</v>
      </c>
    </row>
    <row r="643" spans="1:1" x14ac:dyDescent="0.3">
      <c r="A643" s="11">
        <v>91572.142900336767</v>
      </c>
    </row>
    <row r="644" spans="1:1" x14ac:dyDescent="0.3">
      <c r="A644" s="11">
        <v>91534.411584724323</v>
      </c>
    </row>
    <row r="645" spans="1:1" x14ac:dyDescent="0.3">
      <c r="A645" s="11">
        <v>91449.808735090817</v>
      </c>
    </row>
    <row r="646" spans="1:1" x14ac:dyDescent="0.3">
      <c r="A646" s="11">
        <v>91406.282456663073</v>
      </c>
    </row>
    <row r="647" spans="1:1" x14ac:dyDescent="0.3">
      <c r="A647" s="11">
        <v>91087.170181165042</v>
      </c>
    </row>
    <row r="648" spans="1:1" x14ac:dyDescent="0.3">
      <c r="A648" s="11">
        <v>90425.704469916702</v>
      </c>
    </row>
    <row r="649" spans="1:1" x14ac:dyDescent="0.3">
      <c r="A649" s="11">
        <v>90398.763113189547</v>
      </c>
    </row>
    <row r="650" spans="1:1" x14ac:dyDescent="0.3">
      <c r="A650" s="11">
        <v>90269.276887709333</v>
      </c>
    </row>
    <row r="651" spans="1:1" x14ac:dyDescent="0.3">
      <c r="A651" s="11">
        <v>90173.338138139006</v>
      </c>
    </row>
    <row r="652" spans="1:1" x14ac:dyDescent="0.3">
      <c r="A652" s="11">
        <v>90139.585607662608</v>
      </c>
    </row>
    <row r="653" spans="1:1" x14ac:dyDescent="0.3">
      <c r="A653" s="11">
        <v>90091.745987979215</v>
      </c>
    </row>
    <row r="654" spans="1:1" x14ac:dyDescent="0.3">
      <c r="A654" s="11">
        <v>90043.203673481024</v>
      </c>
    </row>
    <row r="655" spans="1:1" x14ac:dyDescent="0.3">
      <c r="A655" s="11">
        <v>89932.45698378286</v>
      </c>
    </row>
    <row r="656" spans="1:1" x14ac:dyDescent="0.3">
      <c r="A656" s="11">
        <v>89915.175462965068</v>
      </c>
    </row>
    <row r="657" spans="1:1" x14ac:dyDescent="0.3">
      <c r="A657" s="11">
        <v>89848.485862029207</v>
      </c>
    </row>
    <row r="658" spans="1:1" x14ac:dyDescent="0.3">
      <c r="A658" s="11">
        <v>89749.894140336502</v>
      </c>
    </row>
    <row r="659" spans="1:1" x14ac:dyDescent="0.3">
      <c r="A659" s="11">
        <v>89705.042485428407</v>
      </c>
    </row>
    <row r="660" spans="1:1" x14ac:dyDescent="0.3">
      <c r="A660" s="11">
        <v>89692.901205284696</v>
      </c>
    </row>
    <row r="661" spans="1:1" x14ac:dyDescent="0.3">
      <c r="A661" s="11">
        <v>89692.526867690845</v>
      </c>
    </row>
    <row r="662" spans="1:1" x14ac:dyDescent="0.3">
      <c r="A662" s="11">
        <v>89297.769594075682</v>
      </c>
    </row>
    <row r="663" spans="1:1" x14ac:dyDescent="0.3">
      <c r="A663" s="11">
        <v>89289.380750330456</v>
      </c>
    </row>
    <row r="664" spans="1:1" x14ac:dyDescent="0.3">
      <c r="A664" s="11">
        <v>89246.192970238539</v>
      </c>
    </row>
    <row r="665" spans="1:1" x14ac:dyDescent="0.3">
      <c r="A665" s="11">
        <v>89207.588025783625</v>
      </c>
    </row>
    <row r="666" spans="1:1" x14ac:dyDescent="0.3">
      <c r="A666" s="11">
        <v>89146.300965055445</v>
      </c>
    </row>
    <row r="667" spans="1:1" x14ac:dyDescent="0.3">
      <c r="A667" s="11">
        <v>89018.333206119351</v>
      </c>
    </row>
    <row r="668" spans="1:1" x14ac:dyDescent="0.3">
      <c r="A668" s="11">
        <v>88998.093030038232</v>
      </c>
    </row>
    <row r="669" spans="1:1" x14ac:dyDescent="0.3">
      <c r="A669" s="11">
        <v>88963.100674035129</v>
      </c>
    </row>
    <row r="670" spans="1:1" x14ac:dyDescent="0.3">
      <c r="A670" s="11">
        <v>88622.71855410852</v>
      </c>
    </row>
    <row r="671" spans="1:1" x14ac:dyDescent="0.3">
      <c r="A671" s="11">
        <v>88571.14091642687</v>
      </c>
    </row>
    <row r="672" spans="1:1" x14ac:dyDescent="0.3">
      <c r="A672" s="11">
        <v>88546.477241511369</v>
      </c>
    </row>
    <row r="673" spans="1:1" x14ac:dyDescent="0.3">
      <c r="A673" s="11">
        <v>88222.879738453761</v>
      </c>
    </row>
    <row r="674" spans="1:1" x14ac:dyDescent="0.3">
      <c r="A674" s="11">
        <v>88193.101125253947</v>
      </c>
    </row>
    <row r="675" spans="1:1" x14ac:dyDescent="0.3">
      <c r="A675" s="11">
        <v>88179.725353907008</v>
      </c>
    </row>
    <row r="676" spans="1:1" x14ac:dyDescent="0.3">
      <c r="A676" s="11">
        <v>88074.062864328575</v>
      </c>
    </row>
    <row r="677" spans="1:1" x14ac:dyDescent="0.3">
      <c r="A677" s="11">
        <v>88029.236652198291</v>
      </c>
    </row>
    <row r="678" spans="1:1" x14ac:dyDescent="0.3">
      <c r="A678" s="11">
        <v>87984.260171554881</v>
      </c>
    </row>
    <row r="679" spans="1:1" x14ac:dyDescent="0.3">
      <c r="A679" s="11">
        <v>87791.334883841453</v>
      </c>
    </row>
    <row r="680" spans="1:1" x14ac:dyDescent="0.3">
      <c r="A680" s="11">
        <v>87749.669049680087</v>
      </c>
    </row>
    <row r="681" spans="1:1" x14ac:dyDescent="0.3">
      <c r="A681" s="11">
        <v>87690.278767709562</v>
      </c>
    </row>
    <row r="682" spans="1:1" x14ac:dyDescent="0.3">
      <c r="A682" s="11">
        <v>87663.813765623767</v>
      </c>
    </row>
    <row r="683" spans="1:1" x14ac:dyDescent="0.3">
      <c r="A683" s="11">
        <v>87634.024556703996</v>
      </c>
    </row>
    <row r="684" spans="1:1" x14ac:dyDescent="0.3">
      <c r="A684" s="11">
        <v>87536.128764767782</v>
      </c>
    </row>
    <row r="685" spans="1:1" x14ac:dyDescent="0.3">
      <c r="A685" s="11">
        <v>87522.057534280873</v>
      </c>
    </row>
    <row r="686" spans="1:1" x14ac:dyDescent="0.3">
      <c r="A686" s="11">
        <v>87430.919883618189</v>
      </c>
    </row>
    <row r="687" spans="1:1" x14ac:dyDescent="0.3">
      <c r="A687" s="11">
        <v>87237.284643610488</v>
      </c>
    </row>
    <row r="688" spans="1:1" x14ac:dyDescent="0.3">
      <c r="A688" s="11">
        <v>87147.214603746135</v>
      </c>
    </row>
    <row r="689" spans="1:1" x14ac:dyDescent="0.3">
      <c r="A689" s="11">
        <v>87089.951242510462</v>
      </c>
    </row>
    <row r="690" spans="1:1" x14ac:dyDescent="0.3">
      <c r="A690" s="11">
        <v>87072.050304536766</v>
      </c>
    </row>
    <row r="691" spans="1:1" x14ac:dyDescent="0.3">
      <c r="A691" s="11">
        <v>86901.802657286331</v>
      </c>
    </row>
    <row r="692" spans="1:1" x14ac:dyDescent="0.3">
      <c r="A692" s="11">
        <v>86768.375126777435</v>
      </c>
    </row>
    <row r="693" spans="1:1" x14ac:dyDescent="0.3">
      <c r="A693" s="11">
        <v>86572.546833117871</v>
      </c>
    </row>
    <row r="694" spans="1:1" x14ac:dyDescent="0.3">
      <c r="A694" s="11">
        <v>86571.542509665887</v>
      </c>
    </row>
    <row r="695" spans="1:1" x14ac:dyDescent="0.3">
      <c r="A695" s="11">
        <v>86404.116111346317</v>
      </c>
    </row>
    <row r="696" spans="1:1" x14ac:dyDescent="0.3">
      <c r="A696" s="11">
        <v>86263.509020979021</v>
      </c>
    </row>
    <row r="697" spans="1:1" x14ac:dyDescent="0.3">
      <c r="A697" s="11">
        <v>85970.046322920083</v>
      </c>
    </row>
    <row r="698" spans="1:1" x14ac:dyDescent="0.3">
      <c r="A698" s="11">
        <v>85846.276682880605</v>
      </c>
    </row>
    <row r="699" spans="1:1" x14ac:dyDescent="0.3">
      <c r="A699" s="11">
        <v>85809.293306704829</v>
      </c>
    </row>
    <row r="700" spans="1:1" x14ac:dyDescent="0.3">
      <c r="A700" s="11">
        <v>85794.404793035181</v>
      </c>
    </row>
    <row r="701" spans="1:1" x14ac:dyDescent="0.3">
      <c r="A701" s="11">
        <v>85782.512743879473</v>
      </c>
    </row>
    <row r="702" spans="1:1" x14ac:dyDescent="0.3">
      <c r="A702" s="11">
        <v>85448.713534089271</v>
      </c>
    </row>
    <row r="703" spans="1:1" x14ac:dyDescent="0.3">
      <c r="A703" s="11">
        <v>85345.519511451639</v>
      </c>
    </row>
    <row r="704" spans="1:1" x14ac:dyDescent="0.3">
      <c r="A704" s="11">
        <v>85089.420410677165</v>
      </c>
    </row>
    <row r="705" spans="1:1" x14ac:dyDescent="0.3">
      <c r="A705" s="11">
        <v>85042.522948234968</v>
      </c>
    </row>
    <row r="706" spans="1:1" x14ac:dyDescent="0.3">
      <c r="A706" s="11">
        <v>84934.601255389498</v>
      </c>
    </row>
    <row r="707" spans="1:1" x14ac:dyDescent="0.3">
      <c r="A707" s="11">
        <v>84913.340154421894</v>
      </c>
    </row>
    <row r="708" spans="1:1" x14ac:dyDescent="0.3">
      <c r="A708" s="11">
        <v>84662.990196454266</v>
      </c>
    </row>
    <row r="709" spans="1:1" x14ac:dyDescent="0.3">
      <c r="A709" s="11">
        <v>84567.755941702068</v>
      </c>
    </row>
    <row r="710" spans="1:1" x14ac:dyDescent="0.3">
      <c r="A710" s="11">
        <v>84532.559859135697</v>
      </c>
    </row>
    <row r="711" spans="1:1" x14ac:dyDescent="0.3">
      <c r="A711" s="11">
        <v>84405.14956169574</v>
      </c>
    </row>
    <row r="712" spans="1:1" x14ac:dyDescent="0.3">
      <c r="A712" s="11">
        <v>84404.433515090976</v>
      </c>
    </row>
    <row r="713" spans="1:1" x14ac:dyDescent="0.3">
      <c r="A713" s="11">
        <v>84205.221604135921</v>
      </c>
    </row>
    <row r="714" spans="1:1" x14ac:dyDescent="0.3">
      <c r="A714" s="11">
        <v>84098.47053631852</v>
      </c>
    </row>
    <row r="715" spans="1:1" x14ac:dyDescent="0.3">
      <c r="A715" s="11">
        <v>83854.275812082735</v>
      </c>
    </row>
    <row r="716" spans="1:1" x14ac:dyDescent="0.3">
      <c r="A716" s="11">
        <v>83808.995414717429</v>
      </c>
    </row>
    <row r="717" spans="1:1" x14ac:dyDescent="0.3">
      <c r="A717" s="11">
        <v>83721.462001652457</v>
      </c>
    </row>
    <row r="718" spans="1:1" x14ac:dyDescent="0.3">
      <c r="A718" s="11">
        <v>83610.384548606613</v>
      </c>
    </row>
    <row r="719" spans="1:1" x14ac:dyDescent="0.3">
      <c r="A719" s="11">
        <v>83571.709417845195</v>
      </c>
    </row>
    <row r="720" spans="1:1" x14ac:dyDescent="0.3">
      <c r="A720" s="11">
        <v>83156.84143336305</v>
      </c>
    </row>
    <row r="721" spans="1:1" x14ac:dyDescent="0.3">
      <c r="A721" s="11">
        <v>83117.612371426294</v>
      </c>
    </row>
    <row r="722" spans="1:1" x14ac:dyDescent="0.3">
      <c r="A722" s="11">
        <v>83040.505970671395</v>
      </c>
    </row>
    <row r="723" spans="1:1" x14ac:dyDescent="0.3">
      <c r="A723" s="11">
        <v>83037.334707923423</v>
      </c>
    </row>
    <row r="724" spans="1:1" x14ac:dyDescent="0.3">
      <c r="A724" s="11">
        <v>82895.125856711325</v>
      </c>
    </row>
    <row r="725" spans="1:1" x14ac:dyDescent="0.3">
      <c r="A725" s="11">
        <v>82777.870047233242</v>
      </c>
    </row>
    <row r="726" spans="1:1" x14ac:dyDescent="0.3">
      <c r="A726" s="11">
        <v>82743.359547202432</v>
      </c>
    </row>
    <row r="727" spans="1:1" x14ac:dyDescent="0.3">
      <c r="A727" s="11">
        <v>82592.691968900064</v>
      </c>
    </row>
    <row r="728" spans="1:1" x14ac:dyDescent="0.3">
      <c r="A728" s="11">
        <v>82581.625966269014</v>
      </c>
    </row>
    <row r="729" spans="1:1" x14ac:dyDescent="0.3">
      <c r="A729" s="11">
        <v>82573.166294804803</v>
      </c>
    </row>
    <row r="730" spans="1:1" x14ac:dyDescent="0.3">
      <c r="A730" s="11">
        <v>82469.428588952505</v>
      </c>
    </row>
    <row r="731" spans="1:1" x14ac:dyDescent="0.3">
      <c r="A731" s="11">
        <v>82175.033385328992</v>
      </c>
    </row>
    <row r="732" spans="1:1" x14ac:dyDescent="0.3">
      <c r="A732" s="11">
        <v>82087.680212331135</v>
      </c>
    </row>
    <row r="733" spans="1:1" x14ac:dyDescent="0.3">
      <c r="A733" s="11">
        <v>82040.425737844242</v>
      </c>
    </row>
    <row r="734" spans="1:1" x14ac:dyDescent="0.3">
      <c r="A734" s="11">
        <v>81976.316345960237</v>
      </c>
    </row>
    <row r="735" spans="1:1" x14ac:dyDescent="0.3">
      <c r="A735" s="11">
        <v>81949.598462439855</v>
      </c>
    </row>
    <row r="736" spans="1:1" x14ac:dyDescent="0.3">
      <c r="A736" s="11">
        <v>81843.589580533386</v>
      </c>
    </row>
    <row r="737" spans="1:1" x14ac:dyDescent="0.3">
      <c r="A737" s="11">
        <v>81650.632929254833</v>
      </c>
    </row>
    <row r="738" spans="1:1" x14ac:dyDescent="0.3">
      <c r="A738" s="11">
        <v>81561.793413994485</v>
      </c>
    </row>
    <row r="739" spans="1:1" x14ac:dyDescent="0.3">
      <c r="A739" s="11">
        <v>81424.853687169089</v>
      </c>
    </row>
    <row r="740" spans="1:1" x14ac:dyDescent="0.3">
      <c r="A740" s="11">
        <v>81313.140055122378</v>
      </c>
    </row>
    <row r="741" spans="1:1" x14ac:dyDescent="0.3">
      <c r="A741" s="11">
        <v>80875.350303359446</v>
      </c>
    </row>
    <row r="742" spans="1:1" x14ac:dyDescent="0.3">
      <c r="A742" s="11">
        <v>80777.450164347683</v>
      </c>
    </row>
    <row r="743" spans="1:1" x14ac:dyDescent="0.3">
      <c r="A743" s="11">
        <v>80703.399909905027</v>
      </c>
    </row>
    <row r="744" spans="1:1" x14ac:dyDescent="0.3">
      <c r="A744" s="11">
        <v>80643.760832855158</v>
      </c>
    </row>
    <row r="745" spans="1:1" x14ac:dyDescent="0.3">
      <c r="A745" s="11">
        <v>80577.492131989216</v>
      </c>
    </row>
    <row r="746" spans="1:1" x14ac:dyDescent="0.3">
      <c r="A746" s="11">
        <v>80552.952291343056</v>
      </c>
    </row>
    <row r="747" spans="1:1" x14ac:dyDescent="0.3">
      <c r="A747" s="11">
        <v>80470.353465357359</v>
      </c>
    </row>
    <row r="748" spans="1:1" x14ac:dyDescent="0.3">
      <c r="A748" s="11">
        <v>80269.03962421621</v>
      </c>
    </row>
    <row r="749" spans="1:1" x14ac:dyDescent="0.3">
      <c r="A749" s="11">
        <v>80209.116380602689</v>
      </c>
    </row>
    <row r="750" spans="1:1" x14ac:dyDescent="0.3">
      <c r="A750" s="11">
        <v>79988.649385834709</v>
      </c>
    </row>
    <row r="751" spans="1:1" x14ac:dyDescent="0.3">
      <c r="A751" s="11">
        <v>79936.487738604876</v>
      </c>
    </row>
    <row r="752" spans="1:1" x14ac:dyDescent="0.3">
      <c r="A752" s="11">
        <v>79918.234564051541</v>
      </c>
    </row>
    <row r="753" spans="1:1" x14ac:dyDescent="0.3">
      <c r="A753" s="11">
        <v>79830.004039585619</v>
      </c>
    </row>
    <row r="754" spans="1:1" x14ac:dyDescent="0.3">
      <c r="A754" s="11">
        <v>79743.827183431189</v>
      </c>
    </row>
    <row r="755" spans="1:1" x14ac:dyDescent="0.3">
      <c r="A755" s="11">
        <v>79678.102063443235</v>
      </c>
    </row>
    <row r="756" spans="1:1" x14ac:dyDescent="0.3">
      <c r="A756" s="11">
        <v>79662.468284187984</v>
      </c>
    </row>
    <row r="757" spans="1:1" x14ac:dyDescent="0.3">
      <c r="A757" s="11">
        <v>79394.440784005317</v>
      </c>
    </row>
    <row r="758" spans="1:1" x14ac:dyDescent="0.3">
      <c r="A758" s="11">
        <v>79346.745489041466</v>
      </c>
    </row>
    <row r="759" spans="1:1" x14ac:dyDescent="0.3">
      <c r="A759" s="11">
        <v>79233.842777142418</v>
      </c>
    </row>
    <row r="760" spans="1:1" x14ac:dyDescent="0.3">
      <c r="A760" s="11">
        <v>79230.803734324829</v>
      </c>
    </row>
    <row r="761" spans="1:1" x14ac:dyDescent="0.3">
      <c r="A761" s="11">
        <v>79204.41281304248</v>
      </c>
    </row>
    <row r="762" spans="1:1" x14ac:dyDescent="0.3">
      <c r="A762" s="11">
        <v>79043.032825157628</v>
      </c>
    </row>
    <row r="763" spans="1:1" x14ac:dyDescent="0.3">
      <c r="A763" s="11">
        <v>78930.638960247554</v>
      </c>
    </row>
    <row r="764" spans="1:1" x14ac:dyDescent="0.3">
      <c r="A764" s="11">
        <v>78795.247240099721</v>
      </c>
    </row>
    <row r="765" spans="1:1" x14ac:dyDescent="0.3">
      <c r="A765" s="11">
        <v>78730.086593483371</v>
      </c>
    </row>
    <row r="766" spans="1:1" x14ac:dyDescent="0.3">
      <c r="A766" s="11">
        <v>78718.798803675061</v>
      </c>
    </row>
    <row r="767" spans="1:1" x14ac:dyDescent="0.3">
      <c r="A767" s="11">
        <v>78688.725304579202</v>
      </c>
    </row>
    <row r="768" spans="1:1" x14ac:dyDescent="0.3">
      <c r="A768" s="11">
        <v>78660.202814248885</v>
      </c>
    </row>
    <row r="769" spans="1:1" x14ac:dyDescent="0.3">
      <c r="A769" s="11">
        <v>78605.822814351341</v>
      </c>
    </row>
    <row r="770" spans="1:1" x14ac:dyDescent="0.3">
      <c r="A770" s="11">
        <v>78576.846229486357</v>
      </c>
    </row>
    <row r="771" spans="1:1" x14ac:dyDescent="0.3">
      <c r="A771" s="11">
        <v>78509.519712770983</v>
      </c>
    </row>
    <row r="772" spans="1:1" x14ac:dyDescent="0.3">
      <c r="A772" s="11">
        <v>78397.111450385273</v>
      </c>
    </row>
    <row r="773" spans="1:1" x14ac:dyDescent="0.3">
      <c r="A773" s="11">
        <v>78371.227140228963</v>
      </c>
    </row>
    <row r="774" spans="1:1" x14ac:dyDescent="0.3">
      <c r="A774" s="11">
        <v>78297.140532352932</v>
      </c>
    </row>
    <row r="775" spans="1:1" x14ac:dyDescent="0.3">
      <c r="A775" s="11">
        <v>78223.187248180795</v>
      </c>
    </row>
    <row r="776" spans="1:1" x14ac:dyDescent="0.3">
      <c r="A776" s="11">
        <v>77913.375581244822</v>
      </c>
    </row>
    <row r="777" spans="1:1" x14ac:dyDescent="0.3">
      <c r="A777" s="11">
        <v>77796.104392688401</v>
      </c>
    </row>
    <row r="778" spans="1:1" x14ac:dyDescent="0.3">
      <c r="A778" s="11">
        <v>77795.866330558638</v>
      </c>
    </row>
    <row r="779" spans="1:1" x14ac:dyDescent="0.3">
      <c r="A779" s="11">
        <v>77767.56299591584</v>
      </c>
    </row>
    <row r="780" spans="1:1" x14ac:dyDescent="0.3">
      <c r="A780" s="11">
        <v>77612.721143304807</v>
      </c>
    </row>
    <row r="781" spans="1:1" x14ac:dyDescent="0.3">
      <c r="A781" s="11">
        <v>77609.260096704442</v>
      </c>
    </row>
    <row r="782" spans="1:1" x14ac:dyDescent="0.3">
      <c r="A782" s="11">
        <v>77595.766414618935</v>
      </c>
    </row>
    <row r="783" spans="1:1" x14ac:dyDescent="0.3">
      <c r="A783" s="11">
        <v>77593.020270950641</v>
      </c>
    </row>
    <row r="784" spans="1:1" x14ac:dyDescent="0.3">
      <c r="A784" s="11">
        <v>77512.939438091649</v>
      </c>
    </row>
    <row r="785" spans="1:1" x14ac:dyDescent="0.3">
      <c r="A785" s="11">
        <v>77413.270801197665</v>
      </c>
    </row>
    <row r="786" spans="1:1" x14ac:dyDescent="0.3">
      <c r="A786" s="11">
        <v>77192.268589041312</v>
      </c>
    </row>
    <row r="787" spans="1:1" x14ac:dyDescent="0.3">
      <c r="A787" s="11">
        <v>77143.592873700531</v>
      </c>
    </row>
    <row r="788" spans="1:1" x14ac:dyDescent="0.3">
      <c r="A788" s="11">
        <v>76666.632541365936</v>
      </c>
    </row>
    <row r="789" spans="1:1" x14ac:dyDescent="0.3">
      <c r="A789" s="11">
        <v>76405.187444923402</v>
      </c>
    </row>
    <row r="790" spans="1:1" x14ac:dyDescent="0.3">
      <c r="A790" s="11">
        <v>76355.032390117762</v>
      </c>
    </row>
    <row r="791" spans="1:1" x14ac:dyDescent="0.3">
      <c r="A791" s="11">
        <v>76267.450100831615</v>
      </c>
    </row>
    <row r="792" spans="1:1" x14ac:dyDescent="0.3">
      <c r="A792" s="11">
        <v>76235.103900618036</v>
      </c>
    </row>
    <row r="793" spans="1:1" x14ac:dyDescent="0.3">
      <c r="A793" s="11">
        <v>76202.6156779218</v>
      </c>
    </row>
    <row r="794" spans="1:1" x14ac:dyDescent="0.3">
      <c r="A794" s="11">
        <v>76174.5207777225</v>
      </c>
    </row>
    <row r="795" spans="1:1" x14ac:dyDescent="0.3">
      <c r="A795" s="11">
        <v>75926.962949361405</v>
      </c>
    </row>
    <row r="796" spans="1:1" x14ac:dyDescent="0.3">
      <c r="A796" s="11">
        <v>75863.636811364267</v>
      </c>
    </row>
    <row r="797" spans="1:1" x14ac:dyDescent="0.3">
      <c r="A797" s="11">
        <v>75756.74976175894</v>
      </c>
    </row>
    <row r="798" spans="1:1" x14ac:dyDescent="0.3">
      <c r="A798" s="11">
        <v>75660.294256805442</v>
      </c>
    </row>
    <row r="799" spans="1:1" x14ac:dyDescent="0.3">
      <c r="A799" s="11">
        <v>75586.590114262246</v>
      </c>
    </row>
    <row r="800" spans="1:1" x14ac:dyDescent="0.3">
      <c r="A800" s="11">
        <v>75532.178962758597</v>
      </c>
    </row>
    <row r="801" spans="1:1" x14ac:dyDescent="0.3">
      <c r="A801" s="11">
        <v>75400.898000754984</v>
      </c>
    </row>
    <row r="802" spans="1:1" x14ac:dyDescent="0.3">
      <c r="A802" s="11">
        <v>75385.696070814563</v>
      </c>
    </row>
    <row r="803" spans="1:1" x14ac:dyDescent="0.3">
      <c r="A803" s="11">
        <v>75267.230933091894</v>
      </c>
    </row>
    <row r="804" spans="1:1" x14ac:dyDescent="0.3">
      <c r="A804" s="11">
        <v>75056.881548772697</v>
      </c>
    </row>
    <row r="805" spans="1:1" x14ac:dyDescent="0.3">
      <c r="A805" s="11">
        <v>75010.663855494568</v>
      </c>
    </row>
    <row r="806" spans="1:1" x14ac:dyDescent="0.3">
      <c r="A806" s="11">
        <v>74961.865764795817</v>
      </c>
    </row>
    <row r="807" spans="1:1" x14ac:dyDescent="0.3">
      <c r="A807" s="11">
        <v>74909.55727563407</v>
      </c>
    </row>
    <row r="808" spans="1:1" x14ac:dyDescent="0.3">
      <c r="A808" s="11">
        <v>74853.286586244489</v>
      </c>
    </row>
    <row r="809" spans="1:1" x14ac:dyDescent="0.3">
      <c r="A809" s="11">
        <v>74817.46322911825</v>
      </c>
    </row>
    <row r="810" spans="1:1" x14ac:dyDescent="0.3">
      <c r="A810" s="11">
        <v>74747.638480411377</v>
      </c>
    </row>
    <row r="811" spans="1:1" x14ac:dyDescent="0.3">
      <c r="A811" s="11">
        <v>74747.208293260468</v>
      </c>
    </row>
    <row r="812" spans="1:1" x14ac:dyDescent="0.3">
      <c r="A812" s="11">
        <v>74470.437217266852</v>
      </c>
    </row>
    <row r="813" spans="1:1" x14ac:dyDescent="0.3">
      <c r="A813" s="11">
        <v>74315.163854199316</v>
      </c>
    </row>
    <row r="814" spans="1:1" x14ac:dyDescent="0.3">
      <c r="A814" s="11">
        <v>74309.912301688149</v>
      </c>
    </row>
    <row r="815" spans="1:1" x14ac:dyDescent="0.3">
      <c r="A815" s="11">
        <v>74285.601011842926</v>
      </c>
    </row>
    <row r="816" spans="1:1" x14ac:dyDescent="0.3">
      <c r="A816" s="11">
        <v>74210.657345081971</v>
      </c>
    </row>
    <row r="817" spans="1:1" x14ac:dyDescent="0.3">
      <c r="A817" s="11">
        <v>74173.053195784625</v>
      </c>
    </row>
    <row r="818" spans="1:1" x14ac:dyDescent="0.3">
      <c r="A818" s="11">
        <v>74152.743871282408</v>
      </c>
    </row>
    <row r="819" spans="1:1" x14ac:dyDescent="0.3">
      <c r="A819" s="11">
        <v>74132.651479486216</v>
      </c>
    </row>
    <row r="820" spans="1:1" x14ac:dyDescent="0.3">
      <c r="A820" s="11">
        <v>74107.896349975548</v>
      </c>
    </row>
    <row r="821" spans="1:1" x14ac:dyDescent="0.3">
      <c r="A821" s="11">
        <v>73705.378657986206</v>
      </c>
    </row>
    <row r="822" spans="1:1" x14ac:dyDescent="0.3">
      <c r="A822" s="11">
        <v>73683.485929301794</v>
      </c>
    </row>
    <row r="823" spans="1:1" x14ac:dyDescent="0.3">
      <c r="A823" s="11">
        <v>73631.936848034326</v>
      </c>
    </row>
    <row r="824" spans="1:1" x14ac:dyDescent="0.3">
      <c r="A824" s="11">
        <v>73503.549508156211</v>
      </c>
    </row>
    <row r="825" spans="1:1" x14ac:dyDescent="0.3">
      <c r="A825" s="11">
        <v>73439.531942892572</v>
      </c>
    </row>
    <row r="826" spans="1:1" x14ac:dyDescent="0.3">
      <c r="A826" s="11">
        <v>73400.537295421775</v>
      </c>
    </row>
    <row r="827" spans="1:1" x14ac:dyDescent="0.3">
      <c r="A827" s="11">
        <v>73397.285242970393</v>
      </c>
    </row>
    <row r="828" spans="1:1" x14ac:dyDescent="0.3">
      <c r="A828" s="11">
        <v>73326.029458980673</v>
      </c>
    </row>
    <row r="829" spans="1:1" x14ac:dyDescent="0.3">
      <c r="A829" s="11">
        <v>73198.749956844709</v>
      </c>
    </row>
    <row r="830" spans="1:1" x14ac:dyDescent="0.3">
      <c r="A830" s="11">
        <v>73175.933113552295</v>
      </c>
    </row>
    <row r="831" spans="1:1" x14ac:dyDescent="0.3">
      <c r="A831" s="11">
        <v>73174.559416867167</v>
      </c>
    </row>
    <row r="832" spans="1:1" x14ac:dyDescent="0.3">
      <c r="A832" s="11">
        <v>73084.727472460101</v>
      </c>
    </row>
    <row r="833" spans="1:1" x14ac:dyDescent="0.3">
      <c r="A833" s="11">
        <v>73001.625786211865</v>
      </c>
    </row>
    <row r="834" spans="1:1" x14ac:dyDescent="0.3">
      <c r="A834" s="11">
        <v>72922.59532395209</v>
      </c>
    </row>
    <row r="835" spans="1:1" x14ac:dyDescent="0.3">
      <c r="A835" s="11">
        <v>72545.470695497526</v>
      </c>
    </row>
    <row r="836" spans="1:1" x14ac:dyDescent="0.3">
      <c r="A836" s="11">
        <v>72321.498980886536</v>
      </c>
    </row>
    <row r="837" spans="1:1" x14ac:dyDescent="0.3">
      <c r="A837" s="11">
        <v>72311.942052510261</v>
      </c>
    </row>
    <row r="838" spans="1:1" x14ac:dyDescent="0.3">
      <c r="A838" s="11">
        <v>72252.860974863375</v>
      </c>
    </row>
    <row r="839" spans="1:1" x14ac:dyDescent="0.3">
      <c r="A839" s="11">
        <v>72214.300533700196</v>
      </c>
    </row>
    <row r="840" spans="1:1" x14ac:dyDescent="0.3">
      <c r="A840" s="11">
        <v>72202.88262911413</v>
      </c>
    </row>
    <row r="841" spans="1:1" x14ac:dyDescent="0.3">
      <c r="A841" s="11">
        <v>71967.923949741613</v>
      </c>
    </row>
    <row r="842" spans="1:1" x14ac:dyDescent="0.3">
      <c r="A842" s="11">
        <v>71846.118018773137</v>
      </c>
    </row>
    <row r="843" spans="1:1" x14ac:dyDescent="0.3">
      <c r="A843" s="11">
        <v>71794.950153385274</v>
      </c>
    </row>
    <row r="844" spans="1:1" x14ac:dyDescent="0.3">
      <c r="A844" s="11">
        <v>71573.532199748995</v>
      </c>
    </row>
    <row r="845" spans="1:1" x14ac:dyDescent="0.3">
      <c r="A845" s="11">
        <v>71434.721203326146</v>
      </c>
    </row>
    <row r="846" spans="1:1" x14ac:dyDescent="0.3">
      <c r="A846" s="11">
        <v>71395.307257144334</v>
      </c>
    </row>
    <row r="847" spans="1:1" x14ac:dyDescent="0.3">
      <c r="A847" s="11">
        <v>71384.174825450493</v>
      </c>
    </row>
    <row r="848" spans="1:1" x14ac:dyDescent="0.3">
      <c r="A848" s="11">
        <v>71269.923276289788</v>
      </c>
    </row>
    <row r="849" spans="1:1" x14ac:dyDescent="0.3">
      <c r="A849" s="11">
        <v>71250.077726680465</v>
      </c>
    </row>
    <row r="850" spans="1:1" x14ac:dyDescent="0.3">
      <c r="A850" s="11">
        <v>71129.708824406014</v>
      </c>
    </row>
    <row r="851" spans="1:1" x14ac:dyDescent="0.3">
      <c r="A851" s="11">
        <v>71006.76485943787</v>
      </c>
    </row>
    <row r="852" spans="1:1" x14ac:dyDescent="0.3">
      <c r="A852" s="11">
        <v>70878.820634706615</v>
      </c>
    </row>
    <row r="853" spans="1:1" x14ac:dyDescent="0.3">
      <c r="A853" s="11">
        <v>70874.746474582367</v>
      </c>
    </row>
    <row r="854" spans="1:1" x14ac:dyDescent="0.3">
      <c r="A854" s="11">
        <v>70824.30286865629</v>
      </c>
    </row>
    <row r="855" spans="1:1" x14ac:dyDescent="0.3">
      <c r="A855" s="11">
        <v>70641.284703308542</v>
      </c>
    </row>
    <row r="856" spans="1:1" x14ac:dyDescent="0.3">
      <c r="A856" s="11">
        <v>70588.330847559992</v>
      </c>
    </row>
    <row r="857" spans="1:1" x14ac:dyDescent="0.3">
      <c r="A857" s="11">
        <v>70543.739806700018</v>
      </c>
    </row>
    <row r="858" spans="1:1" x14ac:dyDescent="0.3">
      <c r="A858" s="11">
        <v>70335.321877871902</v>
      </c>
    </row>
    <row r="859" spans="1:1" x14ac:dyDescent="0.3">
      <c r="A859" s="11">
        <v>70302.399139365021</v>
      </c>
    </row>
    <row r="860" spans="1:1" x14ac:dyDescent="0.3">
      <c r="A860" s="11">
        <v>70263.678823982715</v>
      </c>
    </row>
    <row r="861" spans="1:1" x14ac:dyDescent="0.3">
      <c r="A861" s="11">
        <v>70001.430217757705</v>
      </c>
    </row>
    <row r="862" spans="1:1" x14ac:dyDescent="0.3">
      <c r="A862" s="11">
        <v>69638.01708716189</v>
      </c>
    </row>
    <row r="863" spans="1:1" x14ac:dyDescent="0.3">
      <c r="A863" s="11">
        <v>69373.653011486575</v>
      </c>
    </row>
    <row r="864" spans="1:1" x14ac:dyDescent="0.3">
      <c r="A864" s="11">
        <v>69283.433097484522</v>
      </c>
    </row>
    <row r="865" spans="1:1" x14ac:dyDescent="0.3">
      <c r="A865" s="11">
        <v>69199.606905318593</v>
      </c>
    </row>
    <row r="866" spans="1:1" x14ac:dyDescent="0.3">
      <c r="A866" s="11">
        <v>69097.612147129679</v>
      </c>
    </row>
    <row r="867" spans="1:1" x14ac:dyDescent="0.3">
      <c r="A867" s="11">
        <v>68798.613197794068</v>
      </c>
    </row>
    <row r="868" spans="1:1" x14ac:dyDescent="0.3">
      <c r="A868" s="11">
        <v>68777.891397575309</v>
      </c>
    </row>
    <row r="869" spans="1:1" x14ac:dyDescent="0.3">
      <c r="A869" s="11">
        <v>68749.460636914228</v>
      </c>
    </row>
    <row r="870" spans="1:1" x14ac:dyDescent="0.3">
      <c r="A870" s="11">
        <v>68631.849704170047</v>
      </c>
    </row>
    <row r="871" spans="1:1" x14ac:dyDescent="0.3">
      <c r="A871" s="11">
        <v>68579.085318079728</v>
      </c>
    </row>
    <row r="872" spans="1:1" x14ac:dyDescent="0.3">
      <c r="A872" s="11">
        <v>68539.459616073349</v>
      </c>
    </row>
    <row r="873" spans="1:1" x14ac:dyDescent="0.3">
      <c r="A873" s="11">
        <v>68281.798370383985</v>
      </c>
    </row>
    <row r="874" spans="1:1" x14ac:dyDescent="0.3">
      <c r="A874" s="11">
        <v>68265.582089853197</v>
      </c>
    </row>
    <row r="875" spans="1:1" x14ac:dyDescent="0.3">
      <c r="A875" s="11">
        <v>68005.884399668998</v>
      </c>
    </row>
    <row r="876" spans="1:1" x14ac:dyDescent="0.3">
      <c r="A876" s="11">
        <v>67962.704305239269</v>
      </c>
    </row>
    <row r="877" spans="1:1" x14ac:dyDescent="0.3">
      <c r="A877" s="11">
        <v>67934.93399271743</v>
      </c>
    </row>
    <row r="878" spans="1:1" x14ac:dyDescent="0.3">
      <c r="A878" s="11">
        <v>67910.566938513148</v>
      </c>
    </row>
    <row r="879" spans="1:1" x14ac:dyDescent="0.3">
      <c r="A879" s="11">
        <v>67699.916399244496</v>
      </c>
    </row>
    <row r="880" spans="1:1" x14ac:dyDescent="0.3">
      <c r="A880" s="11">
        <v>67444.53580277173</v>
      </c>
    </row>
    <row r="881" spans="1:1" x14ac:dyDescent="0.3">
      <c r="A881" s="11">
        <v>67133.985185973273</v>
      </c>
    </row>
    <row r="882" spans="1:1" x14ac:dyDescent="0.3">
      <c r="A882" s="11">
        <v>67054.715953208579</v>
      </c>
    </row>
    <row r="883" spans="1:1" x14ac:dyDescent="0.3">
      <c r="A883" s="11">
        <v>66986.256194216781</v>
      </c>
    </row>
    <row r="884" spans="1:1" x14ac:dyDescent="0.3">
      <c r="A884" s="11">
        <v>66811.178467301463</v>
      </c>
    </row>
    <row r="885" spans="1:1" x14ac:dyDescent="0.3">
      <c r="A885" s="11">
        <v>66673.295879571524</v>
      </c>
    </row>
    <row r="886" spans="1:1" x14ac:dyDescent="0.3">
      <c r="A886" s="11">
        <v>66580.95171791708</v>
      </c>
    </row>
    <row r="887" spans="1:1" x14ac:dyDescent="0.3">
      <c r="A887" s="11">
        <v>66530.511896874421</v>
      </c>
    </row>
    <row r="888" spans="1:1" x14ac:dyDescent="0.3">
      <c r="A888" s="11">
        <v>66463.232773517462</v>
      </c>
    </row>
    <row r="889" spans="1:1" x14ac:dyDescent="0.3">
      <c r="A889" s="11">
        <v>66406.390557514678</v>
      </c>
    </row>
    <row r="890" spans="1:1" x14ac:dyDescent="0.3">
      <c r="A890" s="11">
        <v>66285.244401247444</v>
      </c>
    </row>
    <row r="891" spans="1:1" x14ac:dyDescent="0.3">
      <c r="A891" s="11">
        <v>66271.537870281521</v>
      </c>
    </row>
    <row r="892" spans="1:1" x14ac:dyDescent="0.3">
      <c r="A892" s="11">
        <v>66256.793531260861</v>
      </c>
    </row>
    <row r="893" spans="1:1" x14ac:dyDescent="0.3">
      <c r="A893" s="11">
        <v>65796.368039346969</v>
      </c>
    </row>
    <row r="894" spans="1:1" x14ac:dyDescent="0.3">
      <c r="A894" s="11">
        <v>65494.322592093609</v>
      </c>
    </row>
    <row r="895" spans="1:1" x14ac:dyDescent="0.3">
      <c r="A895" s="11">
        <v>65487.014691935801</v>
      </c>
    </row>
    <row r="896" spans="1:1" x14ac:dyDescent="0.3">
      <c r="A896" s="11">
        <v>65466.985644544176</v>
      </c>
    </row>
    <row r="897" spans="1:1" x14ac:dyDescent="0.3">
      <c r="A897" s="11">
        <v>65237.415604045978</v>
      </c>
    </row>
    <row r="898" spans="1:1" x14ac:dyDescent="0.3">
      <c r="A898" s="11">
        <v>65105.053851860743</v>
      </c>
    </row>
    <row r="899" spans="1:1" x14ac:dyDescent="0.3">
      <c r="A899" s="11">
        <v>65011.76941475799</v>
      </c>
    </row>
    <row r="900" spans="1:1" x14ac:dyDescent="0.3">
      <c r="A900" s="11">
        <v>64953.946068590332</v>
      </c>
    </row>
    <row r="901" spans="1:1" x14ac:dyDescent="0.3">
      <c r="A901" s="11">
        <v>64642.032248504278</v>
      </c>
    </row>
    <row r="902" spans="1:1" x14ac:dyDescent="0.3">
      <c r="A902" s="11">
        <v>64585.254994538191</v>
      </c>
    </row>
    <row r="903" spans="1:1" x14ac:dyDescent="0.3">
      <c r="A903" s="11">
        <v>64556.878031849512</v>
      </c>
    </row>
    <row r="904" spans="1:1" x14ac:dyDescent="0.3">
      <c r="A904" s="11">
        <v>64161.879766554266</v>
      </c>
    </row>
    <row r="905" spans="1:1" x14ac:dyDescent="0.3">
      <c r="A905" s="11">
        <v>64087.918529527902</v>
      </c>
    </row>
    <row r="906" spans="1:1" x14ac:dyDescent="0.3">
      <c r="A906" s="11">
        <v>64050.422638406279</v>
      </c>
    </row>
    <row r="907" spans="1:1" x14ac:dyDescent="0.3">
      <c r="A907" s="11">
        <v>63992.8940443795</v>
      </c>
    </row>
    <row r="908" spans="1:1" x14ac:dyDescent="0.3">
      <c r="A908" s="11">
        <v>63549.553664040941</v>
      </c>
    </row>
    <row r="909" spans="1:1" x14ac:dyDescent="0.3">
      <c r="A909" s="11">
        <v>63146.00475181287</v>
      </c>
    </row>
    <row r="910" spans="1:1" x14ac:dyDescent="0.3">
      <c r="A910" s="11">
        <v>63078.943989941756</v>
      </c>
    </row>
    <row r="911" spans="1:1" x14ac:dyDescent="0.3">
      <c r="A911" s="11">
        <v>62798.985995983021</v>
      </c>
    </row>
    <row r="912" spans="1:1" x14ac:dyDescent="0.3">
      <c r="A912" s="11">
        <v>62772.151696237474</v>
      </c>
    </row>
    <row r="913" spans="1:1" x14ac:dyDescent="0.3">
      <c r="A913" s="11">
        <v>62448.72347366294</v>
      </c>
    </row>
    <row r="914" spans="1:1" x14ac:dyDescent="0.3">
      <c r="A914" s="11">
        <v>62311.215102250942</v>
      </c>
    </row>
    <row r="915" spans="1:1" x14ac:dyDescent="0.3">
      <c r="A915" s="11">
        <v>62116.718776568581</v>
      </c>
    </row>
    <row r="916" spans="1:1" x14ac:dyDescent="0.3">
      <c r="A916" s="11">
        <v>61782.299182521128</v>
      </c>
    </row>
    <row r="917" spans="1:1" x14ac:dyDescent="0.3">
      <c r="A917" s="11">
        <v>61613.914972428523</v>
      </c>
    </row>
    <row r="918" spans="1:1" x14ac:dyDescent="0.3">
      <c r="A918" s="11">
        <v>61519.315157099365</v>
      </c>
    </row>
    <row r="919" spans="1:1" x14ac:dyDescent="0.3">
      <c r="A919" s="11">
        <v>61274.741372812525</v>
      </c>
    </row>
    <row r="920" spans="1:1" x14ac:dyDescent="0.3">
      <c r="A920" s="11">
        <v>61254.244901748432</v>
      </c>
    </row>
    <row r="921" spans="1:1" x14ac:dyDescent="0.3">
      <c r="A921" s="11">
        <v>61250.927635000749</v>
      </c>
    </row>
    <row r="922" spans="1:1" x14ac:dyDescent="0.3">
      <c r="A922" s="11">
        <v>61146.243148350688</v>
      </c>
    </row>
    <row r="923" spans="1:1" x14ac:dyDescent="0.3">
      <c r="A923" s="11">
        <v>60575.358902274136</v>
      </c>
    </row>
    <row r="924" spans="1:1" x14ac:dyDescent="0.3">
      <c r="A924" s="11">
        <v>60527.47069711885</v>
      </c>
    </row>
    <row r="925" spans="1:1" x14ac:dyDescent="0.3">
      <c r="A925" s="11">
        <v>60426.371616254895</v>
      </c>
    </row>
    <row r="926" spans="1:1" x14ac:dyDescent="0.3">
      <c r="A926" s="11">
        <v>59943.276162796312</v>
      </c>
    </row>
    <row r="927" spans="1:1" x14ac:dyDescent="0.3">
      <c r="A927" s="11">
        <v>59535.553500066322</v>
      </c>
    </row>
    <row r="928" spans="1:1" x14ac:dyDescent="0.3">
      <c r="A928" s="11">
        <v>59218.628148494478</v>
      </c>
    </row>
    <row r="929" spans="1:1" x14ac:dyDescent="0.3">
      <c r="A929" s="11">
        <v>59007.409937018332</v>
      </c>
    </row>
    <row r="930" spans="1:1" x14ac:dyDescent="0.3">
      <c r="A930" s="11">
        <v>58968.797349312772</v>
      </c>
    </row>
    <row r="931" spans="1:1" x14ac:dyDescent="0.3">
      <c r="A931" s="11">
        <v>58968.126641151168</v>
      </c>
    </row>
    <row r="932" spans="1:1" x14ac:dyDescent="0.3">
      <c r="A932" s="11">
        <v>58946.211487506807</v>
      </c>
    </row>
    <row r="933" spans="1:1" x14ac:dyDescent="0.3">
      <c r="A933" s="11">
        <v>58912.436172962116</v>
      </c>
    </row>
    <row r="934" spans="1:1" x14ac:dyDescent="0.3">
      <c r="A934" s="11">
        <v>58798.678724219928</v>
      </c>
    </row>
    <row r="935" spans="1:1" x14ac:dyDescent="0.3">
      <c r="A935" s="11">
        <v>58632.184677859354</v>
      </c>
    </row>
    <row r="936" spans="1:1" x14ac:dyDescent="0.3">
      <c r="A936" s="11">
        <v>58586.00112249684</v>
      </c>
    </row>
    <row r="937" spans="1:1" x14ac:dyDescent="0.3">
      <c r="A937" s="11">
        <v>58322.618978796047</v>
      </c>
    </row>
    <row r="938" spans="1:1" x14ac:dyDescent="0.3">
      <c r="A938" s="11">
        <v>57862.575152293786</v>
      </c>
    </row>
    <row r="939" spans="1:1" x14ac:dyDescent="0.3">
      <c r="A939" s="11">
        <v>56964.343790712774</v>
      </c>
    </row>
    <row r="940" spans="1:1" x14ac:dyDescent="0.3">
      <c r="A940" s="11">
        <v>56655.802694004873</v>
      </c>
    </row>
    <row r="941" spans="1:1" x14ac:dyDescent="0.3">
      <c r="A941" s="11">
        <v>56601.673976207589</v>
      </c>
    </row>
    <row r="942" spans="1:1" x14ac:dyDescent="0.3">
      <c r="A942" s="11">
        <v>56406.031826245417</v>
      </c>
    </row>
    <row r="943" spans="1:1" x14ac:dyDescent="0.3">
      <c r="A943" s="11">
        <v>56299.991817153736</v>
      </c>
    </row>
    <row r="944" spans="1:1" x14ac:dyDescent="0.3">
      <c r="A944" s="11">
        <v>56292.47026358029</v>
      </c>
    </row>
    <row r="945" spans="1:1" x14ac:dyDescent="0.3">
      <c r="A945" s="11">
        <v>56211.182270937803</v>
      </c>
    </row>
    <row r="946" spans="1:1" x14ac:dyDescent="0.3">
      <c r="A946" s="11">
        <v>55789.499090967329</v>
      </c>
    </row>
    <row r="947" spans="1:1" x14ac:dyDescent="0.3">
      <c r="A947" s="11">
        <v>55630.060449045013</v>
      </c>
    </row>
    <row r="948" spans="1:1" x14ac:dyDescent="0.3">
      <c r="A948" s="11">
        <v>55552.716567680327</v>
      </c>
    </row>
    <row r="949" spans="1:1" x14ac:dyDescent="0.3">
      <c r="A949" s="11">
        <v>55254.414000128956</v>
      </c>
    </row>
    <row r="950" spans="1:1" x14ac:dyDescent="0.3">
      <c r="A950" s="11">
        <v>55223.056292512578</v>
      </c>
    </row>
    <row r="951" spans="1:1" x14ac:dyDescent="0.3">
      <c r="A951" s="11">
        <v>55217.865435963125</v>
      </c>
    </row>
    <row r="952" spans="1:1" x14ac:dyDescent="0.3">
      <c r="A952" s="11">
        <v>55108.893956380729</v>
      </c>
    </row>
    <row r="953" spans="1:1" x14ac:dyDescent="0.3">
      <c r="A953" s="11">
        <v>54941.521280224952</v>
      </c>
    </row>
    <row r="954" spans="1:1" x14ac:dyDescent="0.3">
      <c r="A954" s="11">
        <v>54733.912793474425</v>
      </c>
    </row>
    <row r="955" spans="1:1" x14ac:dyDescent="0.3">
      <c r="A955" s="11">
        <v>54667.43709464548</v>
      </c>
    </row>
    <row r="956" spans="1:1" x14ac:dyDescent="0.3">
      <c r="A956" s="11">
        <v>54363.869907733177</v>
      </c>
    </row>
    <row r="957" spans="1:1" x14ac:dyDescent="0.3">
      <c r="A957" s="11">
        <v>54259.870994566852</v>
      </c>
    </row>
    <row r="958" spans="1:1" x14ac:dyDescent="0.3">
      <c r="A958" s="11">
        <v>53912.432421154124</v>
      </c>
    </row>
    <row r="959" spans="1:1" x14ac:dyDescent="0.3">
      <c r="A959" s="11">
        <v>53621.49888708959</v>
      </c>
    </row>
    <row r="960" spans="1:1" x14ac:dyDescent="0.3">
      <c r="A960" s="11">
        <v>53525.853644531424</v>
      </c>
    </row>
    <row r="961" spans="1:1" x14ac:dyDescent="0.3">
      <c r="A961" s="11">
        <v>53451.249988631709</v>
      </c>
    </row>
    <row r="962" spans="1:1" x14ac:dyDescent="0.3">
      <c r="A962" s="11">
        <v>53192.304013176996</v>
      </c>
    </row>
    <row r="963" spans="1:1" x14ac:dyDescent="0.3">
      <c r="A963" s="11">
        <v>53052.809224742836</v>
      </c>
    </row>
    <row r="964" spans="1:1" x14ac:dyDescent="0.3">
      <c r="A964" s="11">
        <v>52897.607563590667</v>
      </c>
    </row>
    <row r="965" spans="1:1" x14ac:dyDescent="0.3">
      <c r="A965" s="11">
        <v>52600.612812592401</v>
      </c>
    </row>
    <row r="966" spans="1:1" x14ac:dyDescent="0.3">
      <c r="A966" s="11">
        <v>52011.434231650011</v>
      </c>
    </row>
    <row r="967" spans="1:1" x14ac:dyDescent="0.3">
      <c r="A967" s="11">
        <v>52009.754430797475</v>
      </c>
    </row>
    <row r="968" spans="1:1" x14ac:dyDescent="0.3">
      <c r="A968" s="11">
        <v>51984.648364921079</v>
      </c>
    </row>
    <row r="969" spans="1:1" x14ac:dyDescent="0.3">
      <c r="A969" s="11">
        <v>51779.331473245853</v>
      </c>
    </row>
    <row r="970" spans="1:1" x14ac:dyDescent="0.3">
      <c r="A970" s="11">
        <v>51699.154511647263</v>
      </c>
    </row>
    <row r="971" spans="1:1" x14ac:dyDescent="0.3">
      <c r="A971" s="11">
        <v>51444.096071095046</v>
      </c>
    </row>
    <row r="972" spans="1:1" x14ac:dyDescent="0.3">
      <c r="A972" s="11">
        <v>51436.140304695269</v>
      </c>
    </row>
    <row r="973" spans="1:1" x14ac:dyDescent="0.3">
      <c r="A973" s="11">
        <v>51192.944760506754</v>
      </c>
    </row>
    <row r="974" spans="1:1" x14ac:dyDescent="0.3">
      <c r="A974" s="11">
        <v>50831.206651899236</v>
      </c>
    </row>
    <row r="975" spans="1:1" x14ac:dyDescent="0.3">
      <c r="A975" s="11">
        <v>49648.545803173824</v>
      </c>
    </row>
    <row r="976" spans="1:1" x14ac:dyDescent="0.3">
      <c r="A976" s="11">
        <v>49553.717478033555</v>
      </c>
    </row>
    <row r="977" spans="1:1" x14ac:dyDescent="0.3">
      <c r="A977" s="11">
        <v>49006.646537209788</v>
      </c>
    </row>
    <row r="978" spans="1:1" x14ac:dyDescent="0.3">
      <c r="A978" s="11">
        <v>48949.377271156845</v>
      </c>
    </row>
    <row r="979" spans="1:1" x14ac:dyDescent="0.3">
      <c r="A979" s="11">
        <v>47222.084678427753</v>
      </c>
    </row>
    <row r="980" spans="1:1" x14ac:dyDescent="0.3">
      <c r="A980" s="11">
        <v>46905.8207584665</v>
      </c>
    </row>
    <row r="981" spans="1:1" x14ac:dyDescent="0.3">
      <c r="A981" s="11">
        <v>46802.406680005195</v>
      </c>
    </row>
    <row r="982" spans="1:1" x14ac:dyDescent="0.3">
      <c r="A982" s="11">
        <v>46190.919736249081</v>
      </c>
    </row>
    <row r="983" spans="1:1" x14ac:dyDescent="0.3">
      <c r="A983" s="11">
        <v>45904.355603165284</v>
      </c>
    </row>
    <row r="984" spans="1:1" x14ac:dyDescent="0.3">
      <c r="A984" s="11">
        <v>45791.423391041164</v>
      </c>
    </row>
    <row r="985" spans="1:1" x14ac:dyDescent="0.3">
      <c r="A985" s="11">
        <v>45418.017221952818</v>
      </c>
    </row>
    <row r="986" spans="1:1" x14ac:dyDescent="0.3">
      <c r="A986" s="11">
        <v>45179.83327073534</v>
      </c>
    </row>
    <row r="987" spans="1:1" x14ac:dyDescent="0.3">
      <c r="A987" s="11">
        <v>45032.913466346676</v>
      </c>
    </row>
    <row r="988" spans="1:1" x14ac:dyDescent="0.3">
      <c r="A988" s="11">
        <v>44856.433628873827</v>
      </c>
    </row>
    <row r="989" spans="1:1" x14ac:dyDescent="0.3">
      <c r="A989" s="11">
        <v>44667.353735890989</v>
      </c>
    </row>
    <row r="990" spans="1:1" x14ac:dyDescent="0.3">
      <c r="A990" s="11">
        <v>44539.623543426103</v>
      </c>
    </row>
    <row r="991" spans="1:1" x14ac:dyDescent="0.3">
      <c r="A991" s="11">
        <v>44223.600386825383</v>
      </c>
    </row>
    <row r="992" spans="1:1" x14ac:dyDescent="0.3">
      <c r="A992" s="11">
        <v>43369.565537707975</v>
      </c>
    </row>
    <row r="993" spans="1:1" x14ac:dyDescent="0.3">
      <c r="A993" s="11">
        <v>43037.915382441512</v>
      </c>
    </row>
    <row r="994" spans="1:1" x14ac:dyDescent="0.3">
      <c r="A994" s="11">
        <v>42098.369319575235</v>
      </c>
    </row>
    <row r="995" spans="1:1" x14ac:dyDescent="0.3">
      <c r="A995" s="11">
        <v>39387.186520309173</v>
      </c>
    </row>
    <row r="996" spans="1:1" x14ac:dyDescent="0.3">
      <c r="A996" s="11">
        <v>39367.014381783374</v>
      </c>
    </row>
    <row r="997" spans="1:1" x14ac:dyDescent="0.3">
      <c r="A997" s="11">
        <v>38311.478522202102</v>
      </c>
    </row>
    <row r="998" spans="1:1" x14ac:dyDescent="0.3">
      <c r="A998" s="11">
        <v>33981.685163900635</v>
      </c>
    </row>
    <row r="999" spans="1:1" x14ac:dyDescent="0.3">
      <c r="A999" s="11">
        <v>32411.483887404778</v>
      </c>
    </row>
    <row r="1000" spans="1:1" x14ac:dyDescent="0.3">
      <c r="A1000" s="11">
        <v>25339.107587565293</v>
      </c>
    </row>
  </sheetData>
  <sortState xmlns:xlrd2="http://schemas.microsoft.com/office/spreadsheetml/2017/richdata2" ref="A1:A1000">
    <sortCondition descending="1" ref="A1:A1000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Numero dei sinistri</vt:lpstr>
      <vt:lpstr>SINGOLO SINISTRO</vt:lpstr>
      <vt:lpstr>POISSON-LOGNORM</vt:lpstr>
      <vt:lpstr>BIN.NEG.-LOGNORM</vt:lpstr>
      <vt:lpstr>DANNO AGGREGATO</vt:lpstr>
      <vt:lpstr>RISULTATI </vt:lpstr>
      <vt:lpstr>tvar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2023-03-13T16:00:36Z</dcterms:modified>
</cp:coreProperties>
</file>